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heet1" sheetId="1" state="visible" r:id="rId3"/>
    <sheet name="Sheet2" sheetId="2" state="visible" r:id="rId4"/>
    <sheet name="Sheet3" sheetId="3" state="visible" r:id="rId5"/>
    <sheet name="Sheet4" sheetId="4"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<sst xmlns="http://schemas.openxmlformats.org/spreadsheetml/2006/main" count="262" uniqueCount="138">
  <si>
    <t xml:space="preserve">BM25s results</t>
  </si>
  <si>
    <t xml:space="preserve">In vector search</t>
  </si>
  <si>
    <t xml:space="preserve">CD_and_DevOps Review.pdf.bm25s  Rank 1 (score: 1.13): sr-128-2-3 outdated jenkins software</t>
  </si>
  <si>
    <t xml:space="preserve">Y</t>
  </si>
  <si>
    <t xml:space="preserve">phpMyAdmin.pdf.bm25s  Rank 1 (score: 0.57): vulnerability overly permissive content security policy</t>
  </si>
  <si>
    <t xml:space="preserve">phpMyAdmin.pdf.bm25s  Rank 2 (score: 0.44): vulnerability self xss in table_row_action.php</t>
  </si>
  <si>
    <t xml:space="preserve">Refinery-CMS.pdf.bm25s  Rank 1 (score: 0.30): pt-rcms-001: stored xss in the title text in the image upload</t>
  </si>
  <si>
    <t xml:space="preserve">Refinery-CMS.pdf.bm25s  Rank 2 (score: 0.30): pt-rcms-002: stored xss in the alt text in the image upload</t>
  </si>
  <si>
    <t xml:space="preserve">Refinery-CMS.pdf.bm25s  Rank 3 (score: 0.30): pt-rcms-003: stored xss in the title of the add new page</t>
  </si>
  <si>
    <t xml:space="preserve">Web App and Ext Infrastructure Report.pdf.bm25s  Rank 1 (score: 1.50): sr-101-003 reflected cross-site scripting</t>
  </si>
  <si>
    <t xml:space="preserve">Wikimedia.pdf.bm25s  Rank 1 (score: 0.91): 1. reﬂected xss in api.php</t>
  </si>
  <si>
    <t xml:space="preserve">Wikimedia.pdf.bm25s  Rank 2 (score: 0.62): 7. stored xss in pdf ﬁles</t>
  </si>
  <si>
    <t xml:space="preserve">Wikimedia.pdf.bm25s  Rank 3 (score: 0.48): 3. stored xss in uploaded svg ﬁles</t>
  </si>
  <si>
    <t xml:space="preserve">Web App and Infrastructure and Mobile Report.pdf.bm25s  Rank 1 (score: 1.05): sr-102-001 reflected cross-site scripting (xss)</t>
  </si>
  <si>
    <t xml:space="preserve">HyDE from Gemini for query “XSS”</t>
  </si>
  <si>
    <t xml:space="preserve">HyDE from Llama for query “all XSS vulnerabilities”</t>
  </si>
  <si>
    <t xml:space="preserve">XSS, or Cross-Site Scripting, is a web security vulnerability that allows attackers to inject malicious client-side scripts into web pages viewed by other users. These scripts can then steal user data, hijack sessions, or deface websites by executing within the victim's browser.</t>
  </si>
  <si>
    <t xml:space="preserve">Cross-Site Scripting (XSS) vulnerabilities occur when an attacker injects malicious code into a website, which is then executed by other users' browsers. There are three types of XSS vulnerabilities: Stored XSS (also known as Persistent XSS), Reflected XSS, and DOM-based XSS.</t>
  </si>
  <si>
    <t xml:space="preserve">Gemini – 11 hits – 9 relevant</t>
  </si>
  <si>
    <t xml:space="preserve">Vector Distance</t>
  </si>
  <si>
    <t xml:space="preserve">Rank bm25s</t>
  </si>
  <si>
    <t xml:space="preserve">Score bm25s</t>
  </si>
  <si>
    <t xml:space="preserve">PT-RCMS-003 Stored XSS in the Title of the ADD NEW PAGE</t>
  </si>
  <si>
    <t xml:space="preserve">Rank 3 </t>
  </si>
  <si>
    <t xml:space="preserve">Vulnerability Overly Permissive Content Security Policy</t>
  </si>
  <si>
    <t xml:space="preserve">Rank 1</t>
  </si>
  <si>
    <t xml:space="preserve">PT-RCMS-002 Stored XSS in the ALT Text in the image upload</t>
  </si>
  <si>
    <t xml:space="preserve">Rank 2</t>
  </si>
  <si>
    <t xml:space="preserve">PT-RCMS-001 Stored XSS in the Title Text in the image upload</t>
  </si>
  <si>
    <t xml:space="preserve">Reflected XSS in api.php</t>
  </si>
  <si>
    <t xml:space="preserve">Stored XSS in PDF files</t>
  </si>
  <si>
    <t xml:space="preserve">SR-101-003 Reflected Cross-Site Scripting</t>
  </si>
  <si>
    <t xml:space="preserve">Stored XSS in uploaded SVG files</t>
  </si>
  <si>
    <t xml:space="preserve">SR-128-2-3 Outdated Jenkins Software</t>
  </si>
  <si>
    <t xml:space="preserve">Vulnerability Self XSS in table_row_action.php</t>
  </si>
  <si>
    <t xml:space="preserve">SR-102-001 Reflected Cross-Site Scripting (XSS)</t>
  </si>
  <si>
    <t xml:space="preserve">Llama  – 27 hits – 9 relevant</t>
  </si>
  <si>
    <t xml:space="preserve">sr-103-016 sql server configured to run in mixed mode</t>
  </si>
  <si>
    <t xml:space="preserve">sr-103-002 oracle tns listener poisoning attack</t>
  </si>
  <si>
    <t xml:space="preserve">sr-103-011 sql server running as local system</t>
  </si>
  <si>
    <t xml:space="preserve">sr-103-012 c2 audit was not configured (via sp_configure).</t>
  </si>
  <si>
    <t xml:space="preserve">Rank 4</t>
  </si>
  <si>
    <t xml:space="preserve">ncc-1604_moss_phpmyadmin-008 self xss in table_row_action.php</t>
  </si>
  <si>
    <t xml:space="preserve">ncc-1604_moss_phpmyadmin-005 vulnerability sensitive values vulnerable to session fixation</t>
  </si>
  <si>
    <t xml:space="preserve">ncc-1604_moss_phpmyadmin-009 ability to unset arbitrary server global variables</t>
  </si>
  <si>
    <t xml:space="preserve">nccgrpphp-007 php api calls without side effects</t>
  </si>
  <si>
    <t xml:space="preserve">nccgrpphp-008 unreachable code</t>
  </si>
  <si>
    <t xml:space="preserve">nccgrpphp-002 hard-coded trivial credentials</t>
  </si>
  <si>
    <t xml:space="preserve">nccgrpphp-006 hard-coded static secrets</t>
  </si>
  <si>
    <t xml:space="preserve">nccgrpphp-004 todo comments indicate incomplete code</t>
  </si>
  <si>
    <t xml:space="preserve">Rank 5</t>
  </si>
  <si>
    <t xml:space="preserve">nccgrpphp-011 hard-coded urls and cloud bucket names</t>
  </si>
  <si>
    <t xml:space="preserve">Rank 6</t>
  </si>
  <si>
    <t xml:space="preserve">pt-rcms-003 stored xss in the title of the add new page (medium)</t>
  </si>
  <si>
    <t xml:space="preserve">pt-rcms-002 stored xss in the alt text in the image upload (medium)</t>
  </si>
  <si>
    <t xml:space="preserve">pt-rcms-001 stored xss in the title text in the image upload (medium)</t>
  </si>
  <si>
    <t xml:space="preserve">ncc-samplewapt-007 finding design pattern creates risk of server-side request forgery (ssrf)</t>
  </si>
  <si>
    <t xml:space="preserve">ncc-samplewapt-002 users can become other users via manipulated jwt</t>
  </si>
  <si>
    <t xml:space="preserve">sr-101-003 reflected cross-site scripting</t>
  </si>
  <si>
    <t xml:space="preserve">sr-101-013 directory listings were enabled for the site.</t>
  </si>
  <si>
    <t xml:space="preserve">isec-wmf1214-8 reflected xss in api.php</t>
  </si>
  <si>
    <t xml:space="preserve">isec-wmf1214-14 stored xss in pdf files </t>
  </si>
  <si>
    <t xml:space="preserve">isec-wmf1214-11 stored xss in uploaded svg files</t>
  </si>
  <si>
    <t xml:space="preserve">isec-wmf1214-7 users can inspect each other's personal javascript</t>
  </si>
  <si>
    <t xml:space="preserve">isec-wmf1214-6 check user page lacks cross site request forgery (csrf) protection</t>
  </si>
  <si>
    <t xml:space="preserve">sr-102-001 reflected cross-site scripting (xss)</t>
  </si>
  <si>
    <t xml:space="preserve">sr-102-009 hard-coded credentials </t>
  </si>
  <si>
    <t xml:space="preserve">Llama  – bm25s sorted by score</t>
  </si>
  <si>
    <t xml:space="preserve">Updated index algo</t>
  </si>
  <si>
    <t xml:space="preserve">ONLY TITLE</t>
  </si>
  <si>
    <t xml:space="preserve">HyDE</t>
  </si>
  <si>
    <t xml:space="preserve">multi</t>
  </si>
  <si>
    <t xml:space="preserve">rewrite</t>
  </si>
  <si>
    <t xml:space="preserve">XSS issues</t>
  </si>
  <si>
    <t xml:space="preserve">Reports</t>
  </si>
  <si>
    <t xml:space="preserve">get all xss issues</t>
  </si>
  <si>
    <t xml:space="preserve">xss cross side scripting stored reflected dom selfxss</t>
  </si>
  <si>
    <t xml:space="preserve">stored xss cross-site scripting reflected self-xss</t>
  </si>
  <si>
    <t xml:space="preserve">xss issues</t>
  </si>
  <si>
    <t xml:space="preserve">stored xss in the title text in the image upload </t>
  </si>
  <si>
    <t xml:space="preserve">Refinery-CMS.pdf </t>
  </si>
  <si>
    <t xml:space="preserve">stored xss in the alt text in the image upload </t>
  </si>
  <si>
    <t xml:space="preserve">stored xss in refinery cms add new page title </t>
  </si>
  <si>
    <t xml:space="preserve">reflected cross-site scripting </t>
  </si>
  <si>
    <t xml:space="preserve">Web App and Ext Infrastructure Report.pdf </t>
  </si>
  <si>
    <t xml:space="preserve">reflected xss in api.php </t>
  </si>
  <si>
    <t xml:space="preserve">wikimedia.pdf </t>
  </si>
  <si>
    <t xml:space="preserve">stored xss in pdf files </t>
  </si>
  <si>
    <t xml:space="preserve">stored xss in uploaded svg files </t>
  </si>
  <si>
    <t xml:space="preserve">reflected cross-site scripting (xss) </t>
  </si>
  <si>
    <t xml:space="preserve">phpMyAdmin.pdf </t>
  </si>
  <si>
    <t xml:space="preserve">self xss in table_row_action.php </t>
  </si>
  <si>
    <t xml:space="preserve">Original query</t>
  </si>
  <si>
    <t xml:space="preserve">Cross-Site Scripting (XSS) issues occur when an attacker injects malicious code, such as JavaScript, into a web application's sensitive data, allowing them to steal or modify user credentials, session IDs, or other sensitive information. To mitigate XSS, developers should validate and sanitize user input, use output encoding, and implement Content Security Policy (CSP)headers to restrict the types of scripts that can be executed on a webpage.</t>
  </si>
  <si>
    <t xml:space="preserve">Original</t>
  </si>
  <si>
    <t xml:space="preserve">Web App and Infrastructure and Mobile Report.pdf</t>
  </si>
  <si>
    <t xml:space="preserve">Range</t>
  </si>
  <si>
    <t xml:space="preserve">Variance</t>
  </si>
  <si>
    <t xml:space="preserve">Std Deviation</t>
  </si>
  <si>
    <r>
      <rPr>
        <sz val="10"/>
        <rFont val="Arial"/>
        <family val="2"/>
        <charset val="1"/>
      </rPr>
      <t xml:space="preserve">1</t>
    </r>
    <r>
      <rPr>
        <vertAlign val="superscript"/>
        <sz val="10"/>
        <rFont val="Arial"/>
        <family val="2"/>
        <charset val="1"/>
      </rPr>
      <t xml:space="preserve">st</t>
    </r>
    <r>
      <rPr>
        <sz val="10"/>
        <rFont val="Arial"/>
        <family val="2"/>
        <charset val="1"/>
      </rPr>
      <t xml:space="preserve"> Quartile</t>
    </r>
  </si>
  <si>
    <t xml:space="preserve">Median</t>
  </si>
  <si>
    <t xml:space="preserve">Semantic cut-off</t>
  </si>
  <si>
    <t xml:space="preserve">Query</t>
  </si>
  <si>
    <t xml:space="preserve">Pass/Fail</t>
  </si>
  <si>
    <t xml:space="preserve"># Items</t>
  </si>
  <si>
    <t xml:space="preserve">Quartile 1</t>
  </si>
  <si>
    <t xml:space="preserve">Quartile 2</t>
  </si>
  <si>
    <t xml:space="preserve">Quartile 3</t>
  </si>
  <si>
    <t xml:space="preserve">Mean</t>
  </si>
  <si>
    <t xml:space="preserve">Mean of Set</t>
  </si>
  <si>
    <t xml:space="preserve">Range of Set</t>
  </si>
  <si>
    <t xml:space="preserve">Outlier of Set</t>
  </si>
  <si>
    <t xml:space="preserve">Score</t>
  </si>
  <si>
    <t xml:space="preserve">Notes on Semantic search</t>
  </si>
  <si>
    <t xml:space="preserve">Fail</t>
  </si>
  <si>
    <t xml:space="preserve">6 out of 13 test values returned.</t>
  </si>
  <si>
    <t xml:space="preserve">Pass</t>
  </si>
  <si>
    <t xml:space="preserve">12 test values in Q1. 1 test value in Q3.</t>
  </si>
  <si>
    <t xml:space="preserve">Multi</t>
  </si>
  <si>
    <t xml:space="preserve"> 'What are the most common types of cross-site scripting (XSS) vulnerabilities?',  'Can you provide information on how to prevent and mitigate Cross Site Scripting attacks?',  'I'm looking for examples of XSS security risks, what should I be aware of?',  'How do I identify potential XSS issues in web applications?',  'What is the impact of not addressing XSS attacks on user data and application security?”</t>
  </si>
  <si>
    <t xml:space="preserve">11 test values in Q1. 1 test value in Q2. 1 test value in Q3.</t>
  </si>
  <si>
    <t xml:space="preserve">Compress</t>
  </si>
  <si>
    <t xml:space="preserve">xss issue</t>
  </si>
  <si>
    <t xml:space="preserve">5 out of 13 test values returned.</t>
  </si>
  <si>
    <t xml:space="preserve">Rewrite</t>
  </si>
  <si>
    <t xml:space="preserve">Based on the original query "xss issues", I'll provide a rewritten query that may improve retrieval chances:**Rewritten Query:** "owasp top 10 xss vulnerabilities mitigation"Here's why I made these changes:1. **Added specific information**: By mentioning OWASP (Open Web Application Security Project) Top 10, we're targeting a widely-referenced and authoritative resource on web application security.2. **Specified vulnerability type**: Including "xss" as part of the query ensures that search results focus specifically on Cross-Site Scripting vulnerabilities.3. **Used relevant keywords**: Adding "vulnerabilities" and "mitigation" covers both the issue itself (identifying XSS vulnerabilities) and the solution (how to mitigate them), increasing the chances of retrieving relevant documents.This rewritten query should retrieve documents that provide actionable advice, examples, or guidelines for identifying and fixing XSS issues in accordance with OWASP recommendations. </t>
  </si>
  <si>
    <t xml:space="preserve">9 test values in Q1. 2 test value in Q2. 2 test value in Q3.</t>
  </si>
  <si>
    <t xml:space="preserve">Rewrite Short</t>
  </si>
  <si>
    <t xml:space="preserve">owasp top 10 xss vulnerabilities mitigation </t>
  </si>
  <si>
    <t xml:space="preserve">11 out of 13 test values returned.</t>
  </si>
  <si>
    <t xml:space="preserve">HyDE+Compress</t>
  </si>
  <si>
    <t xml:space="preserve">Cross site Scripting XSS issue occur attacker inject malicious code such JavaScript web application sensitive datum allow steal modify user information prevent XSS web developer validate sanitize user input use Content Security Policy CSP header keep dependency date ensure third party library vulnerable exploit</t>
  </si>
  <si>
    <t xml:space="preserve">Multi+Compress</t>
  </si>
  <si>
    <t xml:space="preserve">most common type cross site scripting XSS vulnerability provide information prevent mitigate Cross Site scripting attack look example XSS security risk aware identify potential XSS issue web application impact address XSS attack user datum application security</t>
  </si>
  <si>
    <t xml:space="preserve">11 test values in Q1. 1 test value in Q2. 1 test value in Q3. </t>
  </si>
  <si>
    <t xml:space="preserve">Rewrite+Compress</t>
  </si>
  <si>
    <t xml:space="preserve">base original query xss issue provide rewrite query improve retrieval chance  rewrite Query owasp top 10 xss vulnerability mitigation  here make change  1 add specific information mention OWASP Open web Application Security Project Top 10 target widely reference authoritative resource web application security  2 specified vulnerability type include xss part query ensure search result focus specifically Cross site Scripting vulnerability  3 use relevant keyword add vulnerability mitigation cover issue identify XSS vulnerability solution mitigate increase chance retrieve relevant document  rewrite query retrieve document provide actionable advice example guideline identify fix XSS issue accordance OWASP recommendation </t>
  </si>
  <si>
    <t xml:space="preserve">10 test values in Q1. 1 test value in Q2. 2 test value in Q3.</t>
  </si>
</sst>
</file>

<file path=xl/styles.xml><?xml version="1.0" encoding="utf-8"?>
<styleSheet xmlns="http://schemas.openxmlformats.org/spreadsheetml/2006/main">
  <numFmts count="3">
    <numFmt numFmtId="164" formatCode="General"/>
    <numFmt numFmtId="165" formatCode="0.0000"/>
    <numFmt numFmtId="166" formatCode="0"/>
  </numFmts>
  <fonts count="6">
    <font>
      <sz val="10"/>
      <name val="Arial"/>
      <family val="2"/>
      <charset val="1"/>
    </font>
    <font>
      <sz val="10"/>
      <name val="Arial"/>
      <family val="0"/>
    </font>
    <font>
      <sz val="10"/>
      <name val="Arial"/>
      <family val="0"/>
    </font>
    <font>
      <sz val="10"/>
      <name val="Arial"/>
      <family val="0"/>
    </font>
    <font>
      <vertAlign val="superscript"/>
      <sz val="10"/>
      <name val="Arial"/>
      <family val="2"/>
      <charset val="1"/>
    </font>
    <font>
      <sz val="10"/>
      <name val="Arial"/>
      <family val="2"/>
    </font>
  </fonts>
  <fills count="5">
    <fill>
      <patternFill patternType="none"/>
    </fill>
    <fill>
      <patternFill patternType="gray125"/>
    </fill>
    <fill>
      <patternFill patternType="solid">
        <fgColor rgb="FFBBE33D"/>
        <bgColor rgb="FFFFCC00"/>
      </patternFill>
    </fill>
    <fill>
      <patternFill patternType="solid">
        <fgColor rgb="FFB4C7DC"/>
        <bgColor rgb="FFCCCCFF"/>
      </patternFill>
    </fill>
    <fill>
      <patternFill patternType="solid">
        <fgColor rgb="FFFFD8CE"/>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true" applyProtection="true">
      <alignment horizontal="center" vertical="center" textRotation="0" wrapText="false" indent="0" shrinkToFit="false"/>
      <protection locked="true" hidden="false"/>
    </xf>
    <xf numFmtId="164" fontId="0" fillId="2"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4" borderId="0" xfId="0" applyFont="true" applyBorder="false" applyAlignment="true" applyProtection="false">
      <alignment horizontal="center" vertical="center" textRotation="0" wrapText="false" indent="0" shrinkToFit="false"/>
      <protection locked="true" hidden="false"/>
    </xf>
    <xf numFmtId="165" fontId="0" fillId="4" borderId="0" xfId="0" applyFont="false" applyBorder="false" applyAlignment="true" applyProtection="false">
      <alignment horizontal="center"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3" borderId="0" xfId="0" applyFont="true" applyBorder="false" applyAlignment="true" applyProtection="true">
      <alignment horizontal="center" vertical="center" textRotation="0" wrapText="true" indent="0" shrinkToFit="false"/>
      <protection locked="true" hidden="false"/>
    </xf>
    <xf numFmtId="166" fontId="0" fillId="0" borderId="0" xfId="0" applyFont="false" applyBorder="false" applyAlignment="true" applyProtection="true">
      <alignment horizontal="center" vertical="center"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true">
      <alignment horizontal="center" vertical="center" textRotation="0" wrapText="false" indent="0"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5"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true" applyProtection="false">
      <alignment horizontal="center" vertical="bottom" textRotation="0" wrapText="false" indent="0" shrinkToFit="false"/>
      <protection locked="true" hidden="false"/>
    </xf>
    <xf numFmtId="166" fontId="0" fillId="4"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8CE"/>
      <rgbColor rgb="FF3366FF"/>
      <rgbColor rgb="FF33CCCC"/>
      <rgbColor rgb="FFBBE33D"/>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6"/>
  <sheetViews>
    <sheetView showFormulas="false" showGridLines="true" showRowColHeaders="true" showZeros="true" rightToLeft="false" tabSelected="false" showOutlineSymbols="true" defaultGridColor="true" view="normal" topLeftCell="A40" colorId="64" zoomScale="100" zoomScaleNormal="100" zoomScalePageLayoutView="100" workbookViewId="0">
      <selection pane="topLeft" activeCell="F73" activeCellId="0" sqref="F73"/>
    </sheetView>
  </sheetViews>
  <sheetFormatPr defaultColWidth="11.53515625" defaultRowHeight="12.8" customHeight="true" zeroHeight="false" outlineLevelRow="0" outlineLevelCol="0"/>
  <cols>
    <col collapsed="false" customWidth="true" hidden="false" outlineLevel="0" max="1" min="1" style="1" width="115.48"/>
    <col collapsed="false" customWidth="true" hidden="false" outlineLevel="0" max="2" min="2" style="1" width="20.16"/>
    <col collapsed="false" customWidth="true" hidden="false" outlineLevel="0" max="4" min="4" style="1" width="13.22"/>
  </cols>
  <sheetData>
    <row r="1" customFormat="false" ht="12.8" hidden="false" customHeight="false" outlineLevel="0" collapsed="false">
      <c r="A1" s="1" t="s">
        <v>0</v>
      </c>
      <c r="B1" s="1" t="s">
        <v>1</v>
      </c>
    </row>
    <row r="3" customFormat="false" ht="12.8" hidden="false" customHeight="false" outlineLevel="0" collapsed="false">
      <c r="A3" s="1" t="s">
        <v>2</v>
      </c>
      <c r="B3" s="1" t="s">
        <v>3</v>
      </c>
    </row>
    <row r="4" customFormat="false" ht="12.8" hidden="false" customHeight="false" outlineLevel="0" collapsed="false">
      <c r="A4" s="1" t="s">
        <v>4</v>
      </c>
      <c r="B4" s="1" t="s">
        <v>3</v>
      </c>
    </row>
    <row r="5" customFormat="false" ht="12.8" hidden="false" customHeight="false" outlineLevel="0" collapsed="false">
      <c r="A5" s="1" t="s">
        <v>5</v>
      </c>
      <c r="B5" s="1" t="s">
        <v>3</v>
      </c>
    </row>
    <row r="6" customFormat="false" ht="12.8" hidden="false" customHeight="false" outlineLevel="0" collapsed="false">
      <c r="A6" s="1" t="s">
        <v>6</v>
      </c>
      <c r="B6" s="1" t="s">
        <v>3</v>
      </c>
    </row>
    <row r="7" customFormat="false" ht="12.8" hidden="false" customHeight="false" outlineLevel="0" collapsed="false">
      <c r="A7" s="1" t="s">
        <v>7</v>
      </c>
      <c r="B7" s="1" t="s">
        <v>3</v>
      </c>
    </row>
    <row r="8" customFormat="false" ht="12.8" hidden="false" customHeight="false" outlineLevel="0" collapsed="false">
      <c r="A8" s="1" t="s">
        <v>8</v>
      </c>
      <c r="B8" s="1" t="s">
        <v>3</v>
      </c>
    </row>
    <row r="9" customFormat="false" ht="12.8" hidden="false" customHeight="false" outlineLevel="0" collapsed="false">
      <c r="A9" s="1" t="s">
        <v>9</v>
      </c>
      <c r="B9" s="1" t="s">
        <v>3</v>
      </c>
    </row>
    <row r="10" customFormat="false" ht="12.8" hidden="false" customHeight="false" outlineLevel="0" collapsed="false">
      <c r="A10" s="1" t="s">
        <v>10</v>
      </c>
      <c r="B10" s="1" t="s">
        <v>3</v>
      </c>
    </row>
    <row r="11" customFormat="false" ht="12.8" hidden="false" customHeight="false" outlineLevel="0" collapsed="false">
      <c r="A11" s="1" t="s">
        <v>11</v>
      </c>
      <c r="B11" s="1" t="s">
        <v>3</v>
      </c>
    </row>
    <row r="12" customFormat="false" ht="12.8" hidden="false" customHeight="false" outlineLevel="0" collapsed="false">
      <c r="A12" s="1" t="s">
        <v>12</v>
      </c>
      <c r="B12" s="1" t="s">
        <v>3</v>
      </c>
    </row>
    <row r="13" customFormat="false" ht="12.8" hidden="false" customHeight="false" outlineLevel="0" collapsed="false">
      <c r="A13" s="1" t="s">
        <v>13</v>
      </c>
      <c r="B13" s="1" t="s">
        <v>3</v>
      </c>
    </row>
    <row r="16" customFormat="false" ht="12.8" hidden="false" customHeight="false" outlineLevel="0" collapsed="false">
      <c r="A16" s="1" t="s">
        <v>14</v>
      </c>
      <c r="B16" s="1" t="s">
        <v>15</v>
      </c>
    </row>
    <row r="18" customFormat="false" ht="63.25" hidden="false" customHeight="true" outlineLevel="0" collapsed="false">
      <c r="A18" s="2" t="s">
        <v>16</v>
      </c>
      <c r="B18" s="3" t="s">
        <v>17</v>
      </c>
      <c r="C18" s="3"/>
      <c r="D18" s="3"/>
      <c r="E18" s="3"/>
      <c r="F18" s="3"/>
      <c r="G18" s="3"/>
    </row>
    <row r="20" customFormat="false" ht="12.8" hidden="false" customHeight="false" outlineLevel="0" collapsed="false">
      <c r="A20" s="1" t="s">
        <v>18</v>
      </c>
      <c r="B20" s="1" t="s">
        <v>19</v>
      </c>
      <c r="C20" s="1" t="s">
        <v>20</v>
      </c>
      <c r="D20" s="1" t="s">
        <v>21</v>
      </c>
    </row>
    <row r="22" customFormat="false" ht="12.8" hidden="false" customHeight="false" outlineLevel="0" collapsed="false">
      <c r="A22" s="1" t="s">
        <v>22</v>
      </c>
      <c r="B22" s="4" t="n">
        <v>0.389871776103973</v>
      </c>
      <c r="C22" s="1" t="s">
        <v>23</v>
      </c>
      <c r="D22" s="4" t="n">
        <v>0.3</v>
      </c>
    </row>
    <row r="23" customFormat="false" ht="12.8" hidden="false" customHeight="false" outlineLevel="0" collapsed="false">
      <c r="A23" s="1" t="s">
        <v>24</v>
      </c>
      <c r="B23" s="4" t="n">
        <v>0.405798852443695</v>
      </c>
      <c r="C23" s="1" t="s">
        <v>25</v>
      </c>
      <c r="D23" s="4" t="n">
        <v>0.57</v>
      </c>
    </row>
    <row r="24" customFormat="false" ht="12.8" hidden="false" customHeight="false" outlineLevel="0" collapsed="false">
      <c r="A24" s="1" t="s">
        <v>26</v>
      </c>
      <c r="B24" s="4" t="n">
        <v>0.414772212505341</v>
      </c>
      <c r="C24" s="1" t="s">
        <v>27</v>
      </c>
      <c r="D24" s="4" t="n">
        <v>0.3</v>
      </c>
    </row>
    <row r="25" customFormat="false" ht="12.8" hidden="false" customHeight="false" outlineLevel="0" collapsed="false">
      <c r="A25" s="1" t="s">
        <v>28</v>
      </c>
      <c r="B25" s="4" t="n">
        <v>0.450511276721954</v>
      </c>
      <c r="C25" s="1" t="s">
        <v>25</v>
      </c>
      <c r="D25" s="4" t="n">
        <v>0.3</v>
      </c>
    </row>
    <row r="26" customFormat="false" ht="12.8" hidden="false" customHeight="false" outlineLevel="0" collapsed="false">
      <c r="A26" s="1" t="s">
        <v>29</v>
      </c>
      <c r="B26" s="4" t="n">
        <v>0.495845973491669</v>
      </c>
      <c r="C26" s="1" t="s">
        <v>25</v>
      </c>
      <c r="D26" s="4" t="n">
        <v>0.89</v>
      </c>
    </row>
    <row r="27" customFormat="false" ht="12.8" hidden="false" customHeight="false" outlineLevel="0" collapsed="false">
      <c r="A27" s="1" t="s">
        <v>30</v>
      </c>
      <c r="B27" s="4" t="n">
        <v>0.499034464359283</v>
      </c>
      <c r="C27" s="1" t="s">
        <v>27</v>
      </c>
      <c r="D27" s="4" t="n">
        <v>0.62</v>
      </c>
    </row>
    <row r="28" customFormat="false" ht="12.8" hidden="false" customHeight="false" outlineLevel="0" collapsed="false">
      <c r="A28" s="1" t="s">
        <v>31</v>
      </c>
      <c r="B28" s="4" t="n">
        <v>0.517503976821899</v>
      </c>
      <c r="C28" s="1" t="s">
        <v>25</v>
      </c>
      <c r="D28" s="4" t="n">
        <v>1.5</v>
      </c>
    </row>
    <row r="29" customFormat="false" ht="12.8" hidden="false" customHeight="false" outlineLevel="0" collapsed="false">
      <c r="A29" s="1" t="s">
        <v>32</v>
      </c>
      <c r="B29" s="4" t="n">
        <v>0.565147399902344</v>
      </c>
      <c r="C29" s="1" t="s">
        <v>23</v>
      </c>
      <c r="D29" s="4" t="n">
        <v>0.47</v>
      </c>
    </row>
    <row r="30" customFormat="false" ht="12.8" hidden="false" customHeight="false" outlineLevel="0" collapsed="false">
      <c r="A30" s="1" t="s">
        <v>33</v>
      </c>
      <c r="B30" s="4" t="n">
        <v>0.580743432044983</v>
      </c>
      <c r="C30" s="1" t="s">
        <v>25</v>
      </c>
      <c r="D30" s="4" t="n">
        <v>1.13</v>
      </c>
    </row>
    <row r="31" customFormat="false" ht="12.8" hidden="false" customHeight="false" outlineLevel="0" collapsed="false">
      <c r="A31" s="1" t="s">
        <v>34</v>
      </c>
      <c r="B31" s="4" t="n">
        <v>0.634622633457184</v>
      </c>
      <c r="C31" s="1" t="s">
        <v>27</v>
      </c>
      <c r="D31" s="4" t="n">
        <v>0.44</v>
      </c>
    </row>
    <row r="32" customFormat="false" ht="12.8" hidden="false" customHeight="false" outlineLevel="0" collapsed="false">
      <c r="A32" s="1" t="s">
        <v>35</v>
      </c>
      <c r="B32" s="4" t="n">
        <v>0.676891803741455</v>
      </c>
      <c r="C32" s="1" t="s">
        <v>25</v>
      </c>
      <c r="D32" s="4" t="n">
        <v>1.05</v>
      </c>
    </row>
    <row r="33" customFormat="false" ht="12.8" hidden="false" customHeight="false" outlineLevel="0" collapsed="false">
      <c r="B33" s="4"/>
      <c r="D33" s="4"/>
    </row>
    <row r="34" customFormat="false" ht="12.8" hidden="false" customHeight="false" outlineLevel="0" collapsed="false">
      <c r="B34" s="4"/>
      <c r="D34" s="4"/>
    </row>
    <row r="35" customFormat="false" ht="12.8" hidden="false" customHeight="false" outlineLevel="0" collapsed="false">
      <c r="A35" s="1" t="s">
        <v>36</v>
      </c>
      <c r="B35" s="4"/>
      <c r="C35" s="1" t="s">
        <v>20</v>
      </c>
      <c r="D35" s="1" t="s">
        <v>21</v>
      </c>
    </row>
    <row r="36" customFormat="false" ht="12.8" hidden="false" customHeight="false" outlineLevel="0" collapsed="false">
      <c r="B36" s="4"/>
      <c r="D36" s="4"/>
    </row>
    <row r="37" customFormat="false" ht="12.8" hidden="false" customHeight="false" outlineLevel="0" collapsed="false">
      <c r="A37" s="1" t="s">
        <v>37</v>
      </c>
      <c r="B37" s="4"/>
      <c r="C37" s="1" t="s">
        <v>25</v>
      </c>
      <c r="D37" s="4" t="n">
        <v>1.51</v>
      </c>
    </row>
    <row r="38" customFormat="false" ht="12.8" hidden="false" customHeight="false" outlineLevel="0" collapsed="false">
      <c r="A38" s="1" t="s">
        <v>38</v>
      </c>
      <c r="B38" s="4"/>
      <c r="C38" s="1" t="s">
        <v>27</v>
      </c>
      <c r="D38" s="4" t="n">
        <v>1.11</v>
      </c>
    </row>
    <row r="39" customFormat="false" ht="12.8" hidden="false" customHeight="false" outlineLevel="0" collapsed="false">
      <c r="A39" s="1" t="s">
        <v>39</v>
      </c>
      <c r="B39" s="4"/>
      <c r="C39" s="1" t="s">
        <v>23</v>
      </c>
      <c r="D39" s="4" t="n">
        <v>0.91</v>
      </c>
    </row>
    <row r="40" customFormat="false" ht="12.8" hidden="false" customHeight="false" outlineLevel="0" collapsed="false">
      <c r="A40" s="1" t="s">
        <v>40</v>
      </c>
      <c r="B40" s="4"/>
      <c r="C40" s="1" t="s">
        <v>41</v>
      </c>
      <c r="D40" s="4" t="n">
        <v>0.39</v>
      </c>
    </row>
    <row r="41" customFormat="false" ht="12.8" hidden="false" customHeight="false" outlineLevel="0" collapsed="false">
      <c r="A41" s="1" t="s">
        <v>42</v>
      </c>
      <c r="B41" s="4" t="n">
        <v>0.384325802326202</v>
      </c>
      <c r="C41" s="1" t="s">
        <v>25</v>
      </c>
      <c r="D41" s="4" t="n">
        <v>4.19</v>
      </c>
      <c r="E41" s="1" t="s">
        <v>3</v>
      </c>
    </row>
    <row r="42" customFormat="false" ht="12.8" hidden="false" customHeight="false" outlineLevel="0" collapsed="false">
      <c r="A42" s="1" t="s">
        <v>43</v>
      </c>
      <c r="B42" s="4"/>
      <c r="C42" s="1" t="s">
        <v>27</v>
      </c>
      <c r="D42" s="4" t="n">
        <v>0.93</v>
      </c>
      <c r="E42" s="1"/>
    </row>
    <row r="43" customFormat="false" ht="12.8" hidden="false" customHeight="false" outlineLevel="0" collapsed="false">
      <c r="A43" s="1" t="s">
        <v>44</v>
      </c>
      <c r="B43" s="4"/>
      <c r="C43" s="1" t="s">
        <v>23</v>
      </c>
      <c r="D43" s="4" t="n">
        <v>0.79</v>
      </c>
      <c r="E43" s="1"/>
    </row>
    <row r="44" customFormat="false" ht="12.8" hidden="false" customHeight="false" outlineLevel="0" collapsed="false">
      <c r="A44" s="1" t="s">
        <v>45</v>
      </c>
      <c r="B44" s="4"/>
      <c r="C44" s="1" t="s">
        <v>25</v>
      </c>
      <c r="D44" s="4" t="n">
        <v>1.92</v>
      </c>
      <c r="E44" s="1"/>
    </row>
    <row r="45" customFormat="false" ht="12.8" hidden="false" customHeight="false" outlineLevel="0" collapsed="false">
      <c r="A45" s="1" t="s">
        <v>46</v>
      </c>
      <c r="B45" s="4"/>
      <c r="C45" s="1" t="s">
        <v>27</v>
      </c>
      <c r="D45" s="4" t="n">
        <v>0.57</v>
      </c>
    </row>
    <row r="46" customFormat="false" ht="12.8" hidden="false" customHeight="true" outlineLevel="0" collapsed="false">
      <c r="A46" s="1" t="s">
        <v>47</v>
      </c>
      <c r="B46" s="4"/>
      <c r="C46" s="1" t="s">
        <v>23</v>
      </c>
      <c r="D46" s="4" t="n">
        <v>0.51</v>
      </c>
    </row>
    <row r="47" customFormat="false" ht="12.8" hidden="false" customHeight="false" outlineLevel="0" collapsed="false">
      <c r="A47" s="1" t="s">
        <v>48</v>
      </c>
      <c r="B47" s="4"/>
      <c r="C47" s="1" t="s">
        <v>41</v>
      </c>
      <c r="D47" s="4" t="n">
        <v>0.51</v>
      </c>
    </row>
    <row r="48" customFormat="false" ht="12.8" hidden="false" customHeight="true" outlineLevel="0" collapsed="false">
      <c r="A48" s="1" t="s">
        <v>49</v>
      </c>
      <c r="B48" s="4"/>
      <c r="C48" s="1" t="s">
        <v>50</v>
      </c>
      <c r="D48" s="4" t="n">
        <v>0.49</v>
      </c>
    </row>
    <row r="49" customFormat="false" ht="12.8" hidden="false" customHeight="true" outlineLevel="0" collapsed="false">
      <c r="A49" s="1" t="s">
        <v>51</v>
      </c>
      <c r="B49" s="4"/>
      <c r="C49" s="1" t="s">
        <v>52</v>
      </c>
      <c r="D49" s="4" t="n">
        <v>0.47</v>
      </c>
    </row>
    <row r="50" customFormat="false" ht="12.8" hidden="false" customHeight="true" outlineLevel="0" collapsed="false">
      <c r="A50" s="1" t="s">
        <v>53</v>
      </c>
      <c r="B50" s="4" t="n">
        <v>0.258466958999634</v>
      </c>
      <c r="C50" s="1" t="s">
        <v>25</v>
      </c>
      <c r="D50" s="4" t="n">
        <v>0.69</v>
      </c>
      <c r="E50" s="1" t="s">
        <v>3</v>
      </c>
    </row>
    <row r="51" customFormat="false" ht="12.8" hidden="false" customHeight="true" outlineLevel="0" collapsed="false">
      <c r="A51" s="1" t="s">
        <v>54</v>
      </c>
      <c r="B51" s="4" t="n">
        <v>0.284174799919128</v>
      </c>
      <c r="C51" s="1" t="s">
        <v>27</v>
      </c>
      <c r="D51" s="4" t="n">
        <v>0.69</v>
      </c>
      <c r="E51" s="1" t="s">
        <v>3</v>
      </c>
    </row>
    <row r="52" customFormat="false" ht="12.8" hidden="false" customHeight="true" outlineLevel="0" collapsed="false">
      <c r="A52" s="1" t="s">
        <v>55</v>
      </c>
      <c r="B52" s="4" t="n">
        <v>0.302828967571259</v>
      </c>
      <c r="C52" s="1" t="s">
        <v>23</v>
      </c>
      <c r="D52" s="4" t="n">
        <v>0.69</v>
      </c>
      <c r="E52" s="1" t="s">
        <v>3</v>
      </c>
    </row>
    <row r="53" customFormat="false" ht="12.8" hidden="false" customHeight="true" outlineLevel="0" collapsed="false">
      <c r="A53" s="1" t="s">
        <v>56</v>
      </c>
      <c r="B53" s="4"/>
      <c r="C53" s="1" t="s">
        <v>25</v>
      </c>
      <c r="D53" s="4" t="n">
        <v>2.33</v>
      </c>
      <c r="E53" s="1"/>
    </row>
    <row r="54" customFormat="false" ht="12.8" hidden="false" customHeight="true" outlineLevel="0" collapsed="false">
      <c r="A54" s="1" t="s">
        <v>57</v>
      </c>
      <c r="B54" s="4"/>
      <c r="C54" s="1" t="s">
        <v>27</v>
      </c>
      <c r="D54" s="4" t="n">
        <v>0.86</v>
      </c>
    </row>
    <row r="55" customFormat="false" ht="12.8" hidden="false" customHeight="true" outlineLevel="0" collapsed="false">
      <c r="A55" s="1" t="s">
        <v>58</v>
      </c>
      <c r="B55" s="4" t="n">
        <v>0.224313855171204</v>
      </c>
      <c r="C55" s="1" t="s">
        <v>25</v>
      </c>
      <c r="D55" s="4" t="n">
        <v>1.56</v>
      </c>
      <c r="E55" s="1" t="s">
        <v>3</v>
      </c>
    </row>
    <row r="56" customFormat="false" ht="12.8" hidden="false" customHeight="true" outlineLevel="0" collapsed="false">
      <c r="A56" s="1" t="s">
        <v>59</v>
      </c>
      <c r="B56" s="4"/>
      <c r="C56" s="1" t="s">
        <v>27</v>
      </c>
      <c r="D56" s="4" t="n">
        <v>0.58</v>
      </c>
    </row>
    <row r="57" customFormat="false" ht="12.8" hidden="false" customHeight="true" outlineLevel="0" collapsed="false">
      <c r="A57" s="1" t="s">
        <v>60</v>
      </c>
      <c r="B57" s="4" t="n">
        <v>0.266833126544952</v>
      </c>
      <c r="C57" s="1" t="s">
        <v>25</v>
      </c>
      <c r="D57" s="4" t="n">
        <v>3.8</v>
      </c>
      <c r="E57" s="1" t="s">
        <v>3</v>
      </c>
    </row>
    <row r="58" customFormat="false" ht="12.8" hidden="false" customHeight="true" outlineLevel="0" collapsed="false">
      <c r="A58" s="1" t="s">
        <v>61</v>
      </c>
      <c r="B58" s="4" t="n">
        <v>0.276750385761261</v>
      </c>
      <c r="C58" s="1" t="s">
        <v>27</v>
      </c>
      <c r="D58" s="4" t="n">
        <v>2.88</v>
      </c>
      <c r="E58" s="1" t="s">
        <v>3</v>
      </c>
    </row>
    <row r="59" customFormat="false" ht="12.8" hidden="false" customHeight="true" outlineLevel="0" collapsed="false">
      <c r="A59" s="1" t="s">
        <v>62</v>
      </c>
      <c r="B59" s="4" t="n">
        <v>0.34324324131012</v>
      </c>
      <c r="C59" s="1" t="s">
        <v>23</v>
      </c>
      <c r="D59" s="4" t="n">
        <v>2.79</v>
      </c>
      <c r="E59" s="1" t="s">
        <v>3</v>
      </c>
    </row>
    <row r="60" customFormat="false" ht="12.8" hidden="false" customHeight="true" outlineLevel="0" collapsed="false">
      <c r="A60" s="1" t="s">
        <v>63</v>
      </c>
      <c r="B60" s="4"/>
      <c r="C60" s="1" t="s">
        <v>41</v>
      </c>
      <c r="D60" s="4" t="n">
        <v>1.77</v>
      </c>
    </row>
    <row r="61" customFormat="false" ht="12.8" hidden="false" customHeight="true" outlineLevel="0" collapsed="false">
      <c r="A61" s="1" t="s">
        <v>64</v>
      </c>
      <c r="B61" s="4"/>
      <c r="C61" s="1" t="s">
        <v>50</v>
      </c>
      <c r="D61" s="4" t="n">
        <v>1.61</v>
      </c>
    </row>
    <row r="62" customFormat="false" ht="12.8" hidden="false" customHeight="true" outlineLevel="0" collapsed="false">
      <c r="A62" s="1" t="s">
        <v>65</v>
      </c>
      <c r="B62" s="4" t="n">
        <v>0.348534345626831</v>
      </c>
      <c r="C62" s="1" t="s">
        <v>25</v>
      </c>
      <c r="D62" s="4" t="n">
        <v>6.67</v>
      </c>
      <c r="E62" s="1" t="s">
        <v>3</v>
      </c>
    </row>
    <row r="63" customFormat="false" ht="12.8" hidden="false" customHeight="true" outlineLevel="0" collapsed="false">
      <c r="A63" s="1" t="s">
        <v>66</v>
      </c>
      <c r="B63" s="4"/>
      <c r="C63" s="1" t="s">
        <v>27</v>
      </c>
      <c r="D63" s="4" t="n">
        <v>1.04</v>
      </c>
    </row>
    <row r="64" customFormat="false" ht="12.8" hidden="false" customHeight="true" outlineLevel="0" collapsed="false">
      <c r="D64" s="4"/>
    </row>
    <row r="65" customFormat="false" ht="12.8" hidden="false" customHeight="true" outlineLevel="0" collapsed="false">
      <c r="D65" s="4"/>
    </row>
    <row r="66" customFormat="false" ht="12.8" hidden="false" customHeight="true" outlineLevel="0" collapsed="false">
      <c r="A66" s="1" t="s">
        <v>67</v>
      </c>
      <c r="D66" s="4"/>
    </row>
    <row r="67" customFormat="false" ht="12.8" hidden="false" customHeight="true" outlineLevel="0" collapsed="false">
      <c r="D67" s="4"/>
    </row>
    <row r="68" customFormat="false" ht="12.8" hidden="false" customHeight="true" outlineLevel="0" collapsed="false">
      <c r="A68" s="1" t="s">
        <v>65</v>
      </c>
      <c r="B68" s="4" t="n">
        <v>0.348534345626831</v>
      </c>
      <c r="C68" s="1" t="s">
        <v>25</v>
      </c>
      <c r="D68" s="4" t="n">
        <v>6.67</v>
      </c>
    </row>
    <row r="69" customFormat="false" ht="12.8" hidden="false" customHeight="false" outlineLevel="0" collapsed="false">
      <c r="A69" s="1" t="s">
        <v>42</v>
      </c>
      <c r="B69" s="4" t="n">
        <v>0.384325802326202</v>
      </c>
      <c r="C69" s="1" t="s">
        <v>25</v>
      </c>
      <c r="D69" s="4" t="n">
        <v>4.19</v>
      </c>
      <c r="E69" s="1"/>
    </row>
    <row r="70" customFormat="false" ht="12.8" hidden="false" customHeight="true" outlineLevel="0" collapsed="false">
      <c r="A70" s="1" t="s">
        <v>60</v>
      </c>
      <c r="B70" s="4" t="n">
        <v>0.266833126544952</v>
      </c>
      <c r="C70" s="1" t="s">
        <v>25</v>
      </c>
      <c r="D70" s="4" t="n">
        <v>3.8</v>
      </c>
    </row>
    <row r="71" customFormat="false" ht="12.8" hidden="false" customHeight="true" outlineLevel="0" collapsed="false">
      <c r="A71" s="1" t="s">
        <v>61</v>
      </c>
      <c r="B71" s="4" t="n">
        <v>0.276750385761261</v>
      </c>
      <c r="C71" s="1" t="s">
        <v>27</v>
      </c>
      <c r="D71" s="4" t="n">
        <v>2.88</v>
      </c>
    </row>
    <row r="72" customFormat="false" ht="12.8" hidden="false" customHeight="true" outlineLevel="0" collapsed="false">
      <c r="A72" s="1" t="s">
        <v>62</v>
      </c>
      <c r="B72" s="4" t="n">
        <v>0.34324324131012</v>
      </c>
      <c r="C72" s="1" t="s">
        <v>23</v>
      </c>
      <c r="D72" s="4" t="n">
        <v>2.79</v>
      </c>
    </row>
    <row r="73" customFormat="false" ht="12.8" hidden="false" customHeight="true" outlineLevel="0" collapsed="false">
      <c r="A73" s="1" t="s">
        <v>58</v>
      </c>
      <c r="B73" s="4" t="n">
        <v>0.224313855171204</v>
      </c>
      <c r="C73" s="1" t="s">
        <v>25</v>
      </c>
      <c r="D73" s="4" t="n">
        <v>1.56</v>
      </c>
    </row>
    <row r="74" customFormat="false" ht="12.8" hidden="false" customHeight="true" outlineLevel="0" collapsed="false">
      <c r="A74" s="1" t="s">
        <v>53</v>
      </c>
      <c r="B74" s="4" t="n">
        <v>0.258466958999634</v>
      </c>
      <c r="C74" s="1" t="s">
        <v>25</v>
      </c>
      <c r="D74" s="4" t="n">
        <v>0.69</v>
      </c>
    </row>
    <row r="75" customFormat="false" ht="12.8" hidden="false" customHeight="true" outlineLevel="0" collapsed="false">
      <c r="A75" s="1" t="s">
        <v>54</v>
      </c>
      <c r="B75" s="4" t="n">
        <v>0.284174799919128</v>
      </c>
      <c r="C75" s="1" t="s">
        <v>27</v>
      </c>
      <c r="D75" s="4" t="n">
        <v>0.69</v>
      </c>
    </row>
    <row r="76" customFormat="false" ht="12.8" hidden="false" customHeight="true" outlineLevel="0" collapsed="false">
      <c r="A76" s="1" t="s">
        <v>55</v>
      </c>
      <c r="B76" s="4" t="n">
        <v>0.302828967571259</v>
      </c>
      <c r="C76" s="1" t="s">
        <v>23</v>
      </c>
      <c r="D76" s="4" t="n">
        <v>0.69</v>
      </c>
    </row>
  </sheetData>
  <mergeCells count="1">
    <mergeCell ref="B18:G18"/>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3515625" defaultRowHeight="12.8" customHeight="true" zeroHeight="false" outlineLevelRow="0" outlineLevelCol="0"/>
  <cols>
    <col collapsed="false" customWidth="true" hidden="false" outlineLevel="0" max="1" min="1" style="1" width="45.11"/>
    <col collapsed="false" customWidth="true" hidden="false" outlineLevel="0" max="2" min="2" style="1" width="37.41"/>
    <col collapsed="false" customWidth="true" hidden="false" outlineLevel="0" max="4" min="4" style="1" width="15.51"/>
    <col collapsed="false" customWidth="true" hidden="false" outlineLevel="0" max="5" min="5" style="1" width="12.9"/>
    <col collapsed="false" customWidth="true" hidden="false" outlineLevel="0" max="8" min="8" style="1" width="13.44"/>
  </cols>
  <sheetData>
    <row r="1" customFormat="false" ht="12.8" hidden="false" customHeight="false" outlineLevel="0" collapsed="false">
      <c r="A1" s="1" t="s">
        <v>68</v>
      </c>
      <c r="E1" s="1" t="s">
        <v>69</v>
      </c>
      <c r="F1" s="1" t="s">
        <v>69</v>
      </c>
      <c r="G1" s="1" t="s">
        <v>69</v>
      </c>
      <c r="H1" s="1" t="s">
        <v>69</v>
      </c>
      <c r="I1" s="1" t="s">
        <v>69</v>
      </c>
      <c r="J1" s="1" t="s">
        <v>69</v>
      </c>
    </row>
    <row r="2" customFormat="false" ht="12.8" hidden="false" customHeight="false" outlineLevel="0" collapsed="false">
      <c r="H2" s="1" t="s">
        <v>70</v>
      </c>
      <c r="I2" s="1" t="s">
        <v>71</v>
      </c>
      <c r="J2" s="1" t="s">
        <v>72</v>
      </c>
    </row>
    <row r="3" customFormat="false" ht="91.55" hidden="false" customHeight="true" outlineLevel="0" collapsed="false">
      <c r="A3" s="1" t="s">
        <v>73</v>
      </c>
      <c r="B3" s="1" t="s">
        <v>74</v>
      </c>
      <c r="C3" s="5" t="s">
        <v>75</v>
      </c>
      <c r="D3" s="5" t="s">
        <v>76</v>
      </c>
      <c r="E3" s="5" t="s">
        <v>76</v>
      </c>
      <c r="F3" s="5" t="s">
        <v>75</v>
      </c>
      <c r="G3" s="6" t="s">
        <v>77</v>
      </c>
      <c r="H3" s="6" t="s">
        <v>78</v>
      </c>
      <c r="I3" s="6" t="s">
        <v>78</v>
      </c>
      <c r="J3" s="6" t="s">
        <v>78</v>
      </c>
    </row>
    <row r="4" customFormat="false" ht="18.05" hidden="false" customHeight="true" outlineLevel="0" collapsed="false">
      <c r="A4" s="2" t="s">
        <v>79</v>
      </c>
      <c r="B4" s="2" t="s">
        <v>80</v>
      </c>
      <c r="C4" s="4" t="n">
        <v>0.43128</v>
      </c>
      <c r="D4" s="4" t="n">
        <v>0.46471</v>
      </c>
      <c r="E4" s="4" t="n">
        <v>0.40114</v>
      </c>
      <c r="F4" s="4" t="n">
        <v>0.3874652</v>
      </c>
      <c r="G4" s="4" t="n">
        <v>0.367897</v>
      </c>
      <c r="H4" s="4" t="n">
        <v>0.4186162</v>
      </c>
      <c r="I4" s="4" t="n">
        <v>0.44804</v>
      </c>
      <c r="J4" s="4" t="n">
        <v>0.50191</v>
      </c>
    </row>
    <row r="5" customFormat="false" ht="12.8" hidden="false" customHeight="false" outlineLevel="0" collapsed="false">
      <c r="A5" s="2" t="s">
        <v>81</v>
      </c>
      <c r="B5" s="2" t="s">
        <v>80</v>
      </c>
      <c r="C5" s="4" t="n">
        <v>0.44954</v>
      </c>
      <c r="D5" s="4" t="n">
        <v>0.46455</v>
      </c>
      <c r="E5" s="4" t="n">
        <v>0.398747</v>
      </c>
      <c r="F5" s="4" t="n">
        <v>0.353189</v>
      </c>
      <c r="G5" s="4" t="n">
        <v>0.3581985</v>
      </c>
      <c r="H5" s="4" t="n">
        <v>0.39481</v>
      </c>
      <c r="I5" s="4" t="n">
        <v>0.4290356</v>
      </c>
      <c r="J5" s="4" t="n">
        <v>0.50816</v>
      </c>
    </row>
    <row r="6" customFormat="false" ht="12.8" hidden="false" customHeight="false" outlineLevel="0" collapsed="false">
      <c r="A6" s="2" t="s">
        <v>82</v>
      </c>
      <c r="B6" s="2" t="s">
        <v>80</v>
      </c>
      <c r="C6" s="4" t="n">
        <v>0.47438</v>
      </c>
      <c r="D6" s="4" t="n">
        <v>0.4126</v>
      </c>
      <c r="E6" s="4" t="n">
        <v>0.477887</v>
      </c>
      <c r="F6" s="4" t="n">
        <v>0.47707</v>
      </c>
      <c r="G6" s="4" t="n">
        <v>0.417595</v>
      </c>
      <c r="H6" s="4" t="n">
        <v>0.438099</v>
      </c>
      <c r="I6" s="4" t="n">
        <v>0.4851</v>
      </c>
      <c r="J6" s="4" t="n">
        <v>0.4416596</v>
      </c>
    </row>
    <row r="7" customFormat="false" ht="14.45" hidden="false" customHeight="true" outlineLevel="0" collapsed="false">
      <c r="A7" s="2" t="s">
        <v>83</v>
      </c>
      <c r="B7" s="2" t="s">
        <v>84</v>
      </c>
      <c r="C7" s="4" t="n">
        <v>0.55302</v>
      </c>
      <c r="D7" s="4" t="n">
        <v>0.44178</v>
      </c>
      <c r="E7" s="4" t="n">
        <v>0.218956</v>
      </c>
      <c r="F7" s="4" t="n">
        <v>0.58119</v>
      </c>
      <c r="G7" s="4" t="n">
        <v>0.1643675</v>
      </c>
      <c r="H7" s="4" t="n">
        <v>0.288717</v>
      </c>
      <c r="I7" s="4" t="n">
        <v>0.259469</v>
      </c>
      <c r="J7" s="4" t="n">
        <v>0.379239</v>
      </c>
    </row>
    <row r="8" customFormat="false" ht="12.8" hidden="false" customHeight="false" outlineLevel="0" collapsed="false">
      <c r="A8" s="2" t="s">
        <v>85</v>
      </c>
      <c r="B8" s="2" t="s">
        <v>86</v>
      </c>
      <c r="C8" s="4" t="n">
        <v>0.50078</v>
      </c>
      <c r="D8" s="4" t="n">
        <v>0.51386</v>
      </c>
      <c r="E8" s="4" t="n">
        <v>0.338625</v>
      </c>
      <c r="F8" s="4" t="n">
        <v>0.367393</v>
      </c>
      <c r="G8" s="4" t="n">
        <v>0.284734</v>
      </c>
      <c r="H8" s="4" t="n">
        <v>0.31385</v>
      </c>
      <c r="I8" s="4" t="n">
        <v>0.35566</v>
      </c>
      <c r="J8" s="4" t="n">
        <v>0.43245</v>
      </c>
    </row>
    <row r="9" customFormat="false" ht="12.8" hidden="false" customHeight="false" outlineLevel="0" collapsed="false">
      <c r="A9" s="2" t="s">
        <v>87</v>
      </c>
      <c r="B9" s="2" t="s">
        <v>86</v>
      </c>
      <c r="C9" s="4" t="n">
        <v>0.52994</v>
      </c>
      <c r="D9" s="4" t="n">
        <v>0.54112</v>
      </c>
      <c r="E9" s="4" t="n">
        <v>0.444964</v>
      </c>
      <c r="F9" s="4" t="n">
        <v>0.31302</v>
      </c>
      <c r="G9" s="4" t="n">
        <v>0.3390864</v>
      </c>
      <c r="H9" s="4" t="n">
        <v>0.38387</v>
      </c>
      <c r="I9" s="4" t="n">
        <v>0.421171</v>
      </c>
      <c r="J9" s="4" t="n">
        <v>0.483517</v>
      </c>
    </row>
    <row r="10" customFormat="false" ht="12.8" hidden="false" customHeight="false" outlineLevel="0" collapsed="false">
      <c r="A10" s="2" t="s">
        <v>88</v>
      </c>
      <c r="B10" s="2" t="s">
        <v>86</v>
      </c>
      <c r="C10" s="4" t="n">
        <v>0.5807</v>
      </c>
      <c r="D10" s="4" t="n">
        <v>0.534728</v>
      </c>
      <c r="E10" s="4" t="n">
        <v>0.4144214</v>
      </c>
      <c r="F10" s="4" t="n">
        <v>0.32466</v>
      </c>
      <c r="G10" s="4" t="n">
        <v>0.33353424</v>
      </c>
      <c r="H10" s="4" t="n">
        <v>0.3970801</v>
      </c>
      <c r="I10" s="4" t="n">
        <v>0.427346</v>
      </c>
      <c r="J10" s="4" t="n">
        <v>0.500925</v>
      </c>
    </row>
    <row r="11" customFormat="false" ht="12.8" hidden="false" customHeight="false" outlineLevel="0" collapsed="false">
      <c r="A11" s="2" t="s">
        <v>89</v>
      </c>
      <c r="B11" s="2" t="s">
        <v>90</v>
      </c>
      <c r="C11" s="4" t="n">
        <v>0.71681</v>
      </c>
      <c r="D11" s="4" t="n">
        <v>0.58165</v>
      </c>
      <c r="E11" s="4" t="n">
        <v>0.175699</v>
      </c>
      <c r="F11" s="4" t="n">
        <v>0.3141902</v>
      </c>
      <c r="G11" s="4" t="n">
        <v>0.066691</v>
      </c>
      <c r="H11" s="4" t="n">
        <v>0.193597</v>
      </c>
      <c r="I11" s="4" t="n">
        <v>0.1772892</v>
      </c>
      <c r="J11" s="4" t="n">
        <v>0.29784</v>
      </c>
    </row>
    <row r="12" customFormat="false" ht="12.8" hidden="false" customHeight="false" outlineLevel="0" collapsed="false">
      <c r="A12" s="2" t="s">
        <v>91</v>
      </c>
      <c r="B12" s="2" t="s">
        <v>90</v>
      </c>
      <c r="C12" s="4" t="n">
        <v>0.69217</v>
      </c>
      <c r="D12" s="4" t="n">
        <v>0.577147</v>
      </c>
      <c r="E12" s="4" t="n">
        <v>0.360313</v>
      </c>
      <c r="F12" s="4" t="n">
        <v>0.4296628</v>
      </c>
      <c r="G12" s="4" t="n">
        <v>0.316418</v>
      </c>
      <c r="H12" s="4" t="n">
        <v>0.38647</v>
      </c>
      <c r="I12" s="4" t="n">
        <v>0.422709</v>
      </c>
      <c r="J12" s="4" t="n">
        <v>0.4676005</v>
      </c>
    </row>
    <row r="13" customFormat="false" ht="12.8" hidden="false" customHeight="false" outlineLevel="0" collapsed="false">
      <c r="H13" s="4"/>
      <c r="I13" s="4"/>
    </row>
    <row r="14" customFormat="false" ht="12.8" hidden="false" customHeight="false" outlineLevel="0" collapsed="false">
      <c r="C14" s="7" t="n">
        <f aca="false">AVERAGE(C4:C12)</f>
        <v>0.547624444444444</v>
      </c>
      <c r="D14" s="7" t="n">
        <f aca="false">AVERAGE(D4:D12)</f>
        <v>0.503571666666667</v>
      </c>
      <c r="E14" s="7" t="n">
        <f aca="false">AVERAGE(E4:E12)</f>
        <v>0.358972488888889</v>
      </c>
      <c r="F14" s="7" t="n">
        <f aca="false">AVERAGE(F4:F12)</f>
        <v>0.394204466666667</v>
      </c>
      <c r="G14" s="7" t="n">
        <f aca="false">AVERAGE(G4:G12)</f>
        <v>0.294280182222222</v>
      </c>
      <c r="H14" s="7" t="n">
        <f aca="false">AVERAGE(H4:H12)</f>
        <v>0.357234366666667</v>
      </c>
      <c r="I14" s="7" t="n">
        <f aca="false">AVERAGE(I4:I12)</f>
        <v>0.380646644444444</v>
      </c>
      <c r="J14" s="7" t="n">
        <f aca="false">AVERAGE(J4:J12)</f>
        <v>0.445922344444444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customHeight="true" zeroHeight="false" outlineLevelRow="0" outlineLevelCol="0"/>
  <cols>
    <col collapsed="false" customWidth="true" hidden="false" outlineLevel="0" max="1" min="1" style="1" width="41.63"/>
    <col collapsed="false" customWidth="true" hidden="false" outlineLevel="0" max="2" min="2" style="1" width="43.91"/>
    <col collapsed="false" customWidth="true" hidden="false" outlineLevel="0" max="3" min="3" style="1" width="9.11"/>
    <col collapsed="false" customWidth="true" hidden="false" outlineLevel="0" max="4" min="4" style="1" width="4.12"/>
    <col collapsed="false" customWidth="true" hidden="false" outlineLevel="0" max="6" min="6" style="1" width="3.36"/>
  </cols>
  <sheetData>
    <row r="1" customFormat="false" ht="12.8" hidden="false" customHeight="false" outlineLevel="0" collapsed="false">
      <c r="A1" s="1" t="s">
        <v>92</v>
      </c>
      <c r="B1" s="1" t="s">
        <v>78</v>
      </c>
    </row>
    <row r="2" customFormat="false" ht="12.8" hidden="false" customHeight="false" outlineLevel="0" collapsed="false">
      <c r="A2" s="1" t="s">
        <v>70</v>
      </c>
      <c r="B2" s="1" t="s">
        <v>93</v>
      </c>
    </row>
    <row r="5" customFormat="false" ht="12.8" hidden="false" customHeight="false" outlineLevel="0" collapsed="false">
      <c r="A5" s="8" t="s">
        <v>73</v>
      </c>
      <c r="B5" s="8" t="s">
        <v>74</v>
      </c>
      <c r="C5" s="8" t="s">
        <v>94</v>
      </c>
      <c r="D5" s="8"/>
      <c r="E5" s="8" t="s">
        <v>70</v>
      </c>
      <c r="F5" s="8"/>
    </row>
    <row r="6" customFormat="false" ht="12.8" hidden="false" customHeight="false" outlineLevel="0" collapsed="false">
      <c r="A6" s="2" t="s">
        <v>79</v>
      </c>
      <c r="B6" s="2" t="s">
        <v>80</v>
      </c>
      <c r="C6" s="4" t="n">
        <v>0.4045</v>
      </c>
      <c r="D6" s="4" t="n">
        <v>2</v>
      </c>
      <c r="E6" s="4" t="n">
        <v>0.2986</v>
      </c>
      <c r="F6" s="4" t="n">
        <v>7</v>
      </c>
    </row>
    <row r="7" customFormat="false" ht="12.8" hidden="false" customHeight="false" outlineLevel="0" collapsed="false">
      <c r="A7" s="2" t="s">
        <v>81</v>
      </c>
      <c r="B7" s="2" t="s">
        <v>80</v>
      </c>
      <c r="C7" s="4" t="n">
        <v>0.3822</v>
      </c>
      <c r="D7" s="4" t="n">
        <v>1</v>
      </c>
      <c r="E7" s="4" t="n">
        <v>0.3077</v>
      </c>
      <c r="F7" s="4" t="n">
        <v>8</v>
      </c>
    </row>
    <row r="8" customFormat="false" ht="21.05" hidden="false" customHeight="true" outlineLevel="0" collapsed="false">
      <c r="A8" s="2" t="s">
        <v>82</v>
      </c>
      <c r="B8" s="2" t="s">
        <v>80</v>
      </c>
      <c r="C8" s="4" t="n">
        <v>0.4295</v>
      </c>
      <c r="D8" s="4" t="n">
        <v>3</v>
      </c>
      <c r="E8" s="4" t="n">
        <v>0.209</v>
      </c>
      <c r="F8" s="4" t="n">
        <v>2</v>
      </c>
    </row>
    <row r="9" customFormat="false" ht="19.85" hidden="false" customHeight="true" outlineLevel="0" collapsed="false">
      <c r="A9" s="2" t="s">
        <v>83</v>
      </c>
      <c r="B9" s="2" t="s">
        <v>84</v>
      </c>
      <c r="C9" s="4" t="n">
        <v>0.5241</v>
      </c>
      <c r="D9" s="4" t="n">
        <v>7</v>
      </c>
      <c r="E9" s="4" t="n">
        <v>0.2019</v>
      </c>
      <c r="F9" s="4" t="n">
        <v>1</v>
      </c>
    </row>
    <row r="10" customFormat="false" ht="22.25" hidden="false" customHeight="true" outlineLevel="0" collapsed="false">
      <c r="A10" s="2" t="s">
        <v>85</v>
      </c>
      <c r="B10" s="2" t="s">
        <v>86</v>
      </c>
      <c r="C10" s="4" t="n">
        <v>0.5335</v>
      </c>
      <c r="D10" s="4" t="n">
        <v>8</v>
      </c>
      <c r="E10" s="4" t="n">
        <v>0.2342</v>
      </c>
      <c r="F10" s="4" t="n">
        <v>3</v>
      </c>
    </row>
    <row r="11" customFormat="false" ht="21.05" hidden="false" customHeight="true" outlineLevel="0" collapsed="false">
      <c r="A11" s="2" t="s">
        <v>87</v>
      </c>
      <c r="B11" s="2" t="s">
        <v>86</v>
      </c>
      <c r="C11" s="4" t="n">
        <v>0.5007</v>
      </c>
      <c r="D11" s="4" t="n">
        <v>5</v>
      </c>
      <c r="E11" s="4" t="n">
        <v>0.2629</v>
      </c>
      <c r="F11" s="4" t="n">
        <v>5</v>
      </c>
    </row>
    <row r="12" customFormat="false" ht="12.8" hidden="false" customHeight="false" outlineLevel="0" collapsed="false">
      <c r="A12" s="2" t="s">
        <v>88</v>
      </c>
      <c r="B12" s="2" t="s">
        <v>86</v>
      </c>
      <c r="C12" s="4" t="n">
        <v>0.4741</v>
      </c>
      <c r="D12" s="4" t="n">
        <v>4</v>
      </c>
      <c r="E12" s="4" t="n">
        <v>0.2801</v>
      </c>
      <c r="F12" s="4" t="n">
        <v>6</v>
      </c>
    </row>
    <row r="13" customFormat="false" ht="12.8" hidden="false" customHeight="false" outlineLevel="0" collapsed="false">
      <c r="A13" s="2" t="s">
        <v>89</v>
      </c>
      <c r="B13" s="2" t="s">
        <v>95</v>
      </c>
      <c r="C13" s="4" t="n">
        <v>0.6761</v>
      </c>
      <c r="D13" s="4" t="n">
        <v>9</v>
      </c>
      <c r="E13" s="4" t="n">
        <v>0.4362</v>
      </c>
      <c r="F13" s="4" t="n">
        <v>9</v>
      </c>
    </row>
    <row r="14" customFormat="false" ht="12.8" hidden="false" customHeight="false" outlineLevel="0" collapsed="false">
      <c r="A14" s="2" t="s">
        <v>91</v>
      </c>
      <c r="B14" s="2" t="s">
        <v>90</v>
      </c>
      <c r="C14" s="4" t="n">
        <v>0.5195</v>
      </c>
      <c r="D14" s="4" t="n">
        <v>6</v>
      </c>
      <c r="E14" s="4" t="n">
        <v>0.2421</v>
      </c>
      <c r="F14" s="4" t="n">
        <v>4</v>
      </c>
    </row>
    <row r="16" customFormat="false" ht="12.8" hidden="false" customHeight="false" outlineLevel="0" collapsed="false">
      <c r="B16" s="1" t="s">
        <v>96</v>
      </c>
      <c r="C16" s="4" t="n">
        <v>0.3127</v>
      </c>
      <c r="D16" s="4"/>
      <c r="E16" s="4" t="n">
        <v>0.4157</v>
      </c>
    </row>
    <row r="17" customFormat="false" ht="12.8" hidden="false" customHeight="false" outlineLevel="0" collapsed="false">
      <c r="B17" s="1" t="s">
        <v>97</v>
      </c>
      <c r="C17" s="4" t="n">
        <v>0.0025</v>
      </c>
      <c r="D17" s="4"/>
      <c r="E17" s="4" t="n">
        <v>0.0051</v>
      </c>
    </row>
    <row r="18" customFormat="false" ht="12.8" hidden="false" customHeight="false" outlineLevel="0" collapsed="false">
      <c r="B18" s="1" t="s">
        <v>98</v>
      </c>
      <c r="C18" s="4" t="n">
        <v>0.0508</v>
      </c>
      <c r="D18" s="4"/>
      <c r="E18" s="4" t="n">
        <v>0.0716</v>
      </c>
    </row>
    <row r="19" customFormat="false" ht="12.8" hidden="false" customHeight="false" outlineLevel="0" collapsed="false">
      <c r="B19" s="1" t="s">
        <v>99</v>
      </c>
      <c r="C19" s="4" t="n">
        <v>0.5826</v>
      </c>
      <c r="D19" s="4"/>
      <c r="E19" s="4" t="n">
        <v>0.3586</v>
      </c>
    </row>
    <row r="20" customFormat="false" ht="12.8" hidden="false" customHeight="false" outlineLevel="0" collapsed="false">
      <c r="B20" s="1" t="s">
        <v>100</v>
      </c>
      <c r="C20" s="4" t="n">
        <v>0.6089</v>
      </c>
      <c r="D20" s="4"/>
      <c r="E20" s="4" t="n">
        <v>0.3938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5" activeCellId="0" sqref="O5"/>
    </sheetView>
  </sheetViews>
  <sheetFormatPr defaultColWidth="11.53515625" defaultRowHeight="12.8" customHeight="true" zeroHeight="false" outlineLevelRow="0" outlineLevelCol="0"/>
  <cols>
    <col collapsed="false" customWidth="true" hidden="false" outlineLevel="0" max="1" min="1" style="0" width="17.34"/>
    <col collapsed="false" customWidth="true" hidden="false" outlineLevel="0" max="2" min="2" style="0" width="71.56"/>
    <col collapsed="false" customWidth="true" hidden="false" outlineLevel="0" max="3" min="3" style="0" width="8.77"/>
    <col collapsed="false" customWidth="true" hidden="false" outlineLevel="0" max="4" min="4" style="0" width="7.37"/>
    <col collapsed="false" customWidth="true" hidden="false" outlineLevel="0" max="7" min="5" style="0" width="9.33"/>
    <col collapsed="false" customWidth="true" hidden="false" outlineLevel="0" max="9" min="8" style="0" width="8.02"/>
    <col collapsed="false" customWidth="true" hidden="false" outlineLevel="0" max="10" min="10" style="0" width="11.92"/>
    <col collapsed="false" customWidth="true" hidden="false" outlineLevel="0" max="11" min="11" style="0" width="12.57"/>
    <col collapsed="false" customWidth="true" hidden="false" outlineLevel="0" max="12" min="12" style="0" width="13.12"/>
    <col collapsed="false" customWidth="true" hidden="false" outlineLevel="0" max="13" min="13" style="0" width="8.88"/>
    <col collapsed="false" customWidth="true" hidden="false" outlineLevel="0" max="14" min="14" style="0" width="33.4"/>
    <col collapsed="false" customWidth="true" hidden="false" outlineLevel="0" max="15" min="15" style="0" width="14.09"/>
  </cols>
  <sheetData>
    <row r="1" customFormat="false" ht="12.8" hidden="false" customHeight="false" outlineLevel="0" collapsed="false">
      <c r="A1" s="9" t="s">
        <v>101</v>
      </c>
      <c r="B1" s="10" t="n">
        <v>0.5</v>
      </c>
    </row>
    <row r="2" customFormat="false" ht="12.8" hidden="false" customHeight="false" outlineLevel="0" collapsed="false">
      <c r="A2" s="11"/>
    </row>
    <row r="3" s="14" customFormat="true" ht="21.05" hidden="false" customHeight="true" outlineLevel="0" collapsed="false">
      <c r="A3" s="12" t="s">
        <v>102</v>
      </c>
      <c r="B3" s="12" t="s">
        <v>78</v>
      </c>
      <c r="C3" s="12" t="s">
        <v>103</v>
      </c>
      <c r="D3" s="12" t="s">
        <v>104</v>
      </c>
      <c r="E3" s="13" t="s">
        <v>105</v>
      </c>
      <c r="F3" s="13" t="s">
        <v>106</v>
      </c>
      <c r="G3" s="13" t="s">
        <v>107</v>
      </c>
      <c r="H3" s="13" t="s">
        <v>108</v>
      </c>
      <c r="I3" s="13" t="s">
        <v>96</v>
      </c>
      <c r="J3" s="13" t="s">
        <v>109</v>
      </c>
      <c r="K3" s="13" t="s">
        <v>110</v>
      </c>
      <c r="L3" s="13" t="s">
        <v>111</v>
      </c>
      <c r="M3" s="13" t="s">
        <v>112</v>
      </c>
      <c r="N3" s="13" t="s">
        <v>113</v>
      </c>
      <c r="O3" s="12" t="s">
        <v>103</v>
      </c>
      <c r="P3" s="12" t="s">
        <v>104</v>
      </c>
      <c r="XFC3" s="0"/>
      <c r="XFD3" s="0"/>
    </row>
    <row r="4" customFormat="false" ht="19.25" hidden="false" customHeight="true" outlineLevel="0" collapsed="false">
      <c r="A4" s="14" t="s">
        <v>94</v>
      </c>
      <c r="B4" s="14" t="s">
        <v>78</v>
      </c>
      <c r="C4" s="15" t="s">
        <v>114</v>
      </c>
      <c r="D4" s="15" t="n">
        <v>5</v>
      </c>
      <c r="E4" s="15" t="n">
        <v>0.4045</v>
      </c>
      <c r="F4" s="15" t="n">
        <v>0.4295</v>
      </c>
      <c r="G4" s="16" t="n">
        <v>0.47</v>
      </c>
      <c r="H4" s="15" t="n">
        <v>0.4365</v>
      </c>
      <c r="I4" s="15" t="n">
        <v>0.1137</v>
      </c>
      <c r="J4" s="15"/>
      <c r="K4" s="15"/>
      <c r="L4" s="17"/>
      <c r="M4" s="17"/>
      <c r="N4" s="18" t="s">
        <v>115</v>
      </c>
      <c r="O4" s="15" t="s">
        <v>114</v>
      </c>
      <c r="P4" s="15" t="n">
        <v>9</v>
      </c>
    </row>
    <row r="5" customFormat="false" ht="69.85" hidden="false" customHeight="false" outlineLevel="0" collapsed="false">
      <c r="A5" s="19" t="s">
        <v>70</v>
      </c>
      <c r="B5" s="2" t="s">
        <v>93</v>
      </c>
      <c r="C5" s="20" t="s">
        <v>116</v>
      </c>
      <c r="D5" s="21" t="n">
        <v>148</v>
      </c>
      <c r="E5" s="22" t="n">
        <v>0.3462</v>
      </c>
      <c r="F5" s="23" t="n">
        <v>0.3903</v>
      </c>
      <c r="G5" s="22" t="n">
        <v>0.416</v>
      </c>
      <c r="H5" s="22" t="n">
        <v>0.3796</v>
      </c>
      <c r="I5" s="22" t="n">
        <v>0.279</v>
      </c>
      <c r="J5" s="14" t="n">
        <v>0.2789</v>
      </c>
      <c r="K5" s="22" t="n">
        <v>0.2257</v>
      </c>
      <c r="L5" s="22" t="n">
        <v>0.4348</v>
      </c>
      <c r="M5" s="24" t="n">
        <f aca="false">12*1+1*3</f>
        <v>15</v>
      </c>
      <c r="N5" s="25" t="s">
        <v>117</v>
      </c>
    </row>
    <row r="6" customFormat="false" ht="12.8" hidden="false" customHeight="false" outlineLevel="0" collapsed="false">
      <c r="A6" s="14"/>
      <c r="J6" s="14"/>
      <c r="K6" s="14"/>
      <c r="M6" s="24"/>
      <c r="N6" s="11"/>
    </row>
    <row r="7" customFormat="false" ht="58.4" hidden="false" customHeight="false" outlineLevel="0" collapsed="false">
      <c r="A7" s="14" t="s">
        <v>118</v>
      </c>
      <c r="B7" s="11" t="s">
        <v>119</v>
      </c>
      <c r="C7" s="20" t="s">
        <v>116</v>
      </c>
      <c r="D7" s="14" t="n">
        <v>145</v>
      </c>
      <c r="E7" s="14" t="n">
        <v>0.3815</v>
      </c>
      <c r="F7" s="14" t="n">
        <v>0.4229</v>
      </c>
      <c r="G7" s="14" t="n">
        <v>0.4497</v>
      </c>
      <c r="H7" s="14" t="n">
        <v>0.4141</v>
      </c>
      <c r="I7" s="14" t="n">
        <v>0.2233</v>
      </c>
      <c r="J7" s="22" t="n">
        <v>0.341</v>
      </c>
      <c r="K7" s="14" t="n">
        <v>0.1514</v>
      </c>
      <c r="L7" s="14" t="n">
        <v>0.4271</v>
      </c>
      <c r="M7" s="24" t="n">
        <f aca="false">11*1+1*2+1*3</f>
        <v>16</v>
      </c>
      <c r="N7" s="25" t="s">
        <v>120</v>
      </c>
    </row>
    <row r="8" customFormat="false" ht="12.8" hidden="false" customHeight="false" outlineLevel="0" collapsed="false">
      <c r="J8" s="14"/>
      <c r="K8" s="14"/>
      <c r="M8" s="24"/>
      <c r="N8" s="11"/>
    </row>
    <row r="9" customFormat="false" ht="12.8" hidden="false" customHeight="false" outlineLevel="0" collapsed="false">
      <c r="A9" s="26" t="s">
        <v>121</v>
      </c>
      <c r="B9" s="26" t="s">
        <v>122</v>
      </c>
      <c r="C9" s="15" t="s">
        <v>114</v>
      </c>
      <c r="D9" s="15" t="n">
        <v>5</v>
      </c>
      <c r="E9" s="27" t="n">
        <v>0.3824</v>
      </c>
      <c r="F9" s="27" t="n">
        <v>0.4232</v>
      </c>
      <c r="G9" s="27" t="n">
        <v>0.4678</v>
      </c>
      <c r="H9" s="27" t="n">
        <v>0.4248</v>
      </c>
      <c r="I9" s="27" t="n">
        <v>0.1451</v>
      </c>
      <c r="J9" s="15"/>
      <c r="K9" s="15"/>
      <c r="L9" s="17"/>
      <c r="M9" s="28"/>
      <c r="N9" s="18" t="s">
        <v>123</v>
      </c>
    </row>
    <row r="10" customFormat="false" ht="12.8" hidden="false" customHeight="false" outlineLevel="0" collapsed="false">
      <c r="J10" s="14"/>
      <c r="K10" s="14"/>
      <c r="M10" s="24"/>
      <c r="N10" s="11"/>
    </row>
    <row r="11" customFormat="false" ht="138.55" hidden="false" customHeight="false" outlineLevel="0" collapsed="false">
      <c r="A11" s="14" t="s">
        <v>124</v>
      </c>
      <c r="B11" s="29" t="s">
        <v>125</v>
      </c>
      <c r="C11" s="20" t="s">
        <v>116</v>
      </c>
      <c r="D11" s="14" t="n">
        <v>144</v>
      </c>
      <c r="E11" s="14" t="n">
        <v>0.3866</v>
      </c>
      <c r="F11" s="14" t="n">
        <v>0.4146</v>
      </c>
      <c r="G11" s="14" t="n">
        <v>0.4414</v>
      </c>
      <c r="H11" s="14" t="n">
        <v>0.4138</v>
      </c>
      <c r="I11" s="14" t="n">
        <v>0.1979</v>
      </c>
      <c r="J11" s="14" t="n">
        <v>0.3714</v>
      </c>
      <c r="K11" s="14" t="n">
        <v>0.1695</v>
      </c>
      <c r="L11" s="14" t="n">
        <v>0.4707</v>
      </c>
      <c r="M11" s="24" t="n">
        <f aca="false">9*1+2*2+2*3</f>
        <v>19</v>
      </c>
      <c r="N11" s="25" t="s">
        <v>126</v>
      </c>
    </row>
    <row r="12" customFormat="false" ht="12.8" hidden="false" customHeight="false" outlineLevel="0" collapsed="false">
      <c r="A12" s="26" t="s">
        <v>127</v>
      </c>
      <c r="B12" s="29" t="s">
        <v>128</v>
      </c>
      <c r="C12" s="15" t="s">
        <v>114</v>
      </c>
      <c r="D12" s="15" t="n">
        <v>108</v>
      </c>
      <c r="E12" s="15" t="n">
        <v>0.4407</v>
      </c>
      <c r="F12" s="15" t="n">
        <v>0.4582</v>
      </c>
      <c r="G12" s="15" t="n">
        <v>0.4801</v>
      </c>
      <c r="H12" s="15" t="n">
        <v>0.4568</v>
      </c>
      <c r="I12" s="15" t="n">
        <v>0.1244</v>
      </c>
      <c r="J12" s="15" t="n">
        <v>0.4243</v>
      </c>
      <c r="K12" s="15" t="n">
        <v>0.0847</v>
      </c>
      <c r="L12" s="17"/>
      <c r="M12" s="28"/>
      <c r="N12" s="18" t="s">
        <v>129</v>
      </c>
    </row>
    <row r="13" customFormat="false" ht="12.8" hidden="false" customHeight="false" outlineLevel="0" collapsed="false">
      <c r="J13" s="14"/>
      <c r="K13" s="14"/>
      <c r="M13" s="24"/>
      <c r="N13" s="11"/>
    </row>
    <row r="14" customFormat="false" ht="46.95" hidden="false" customHeight="false" outlineLevel="0" collapsed="false">
      <c r="A14" s="30" t="s">
        <v>130</v>
      </c>
      <c r="B14" s="11" t="s">
        <v>131</v>
      </c>
      <c r="C14" s="20" t="s">
        <v>116</v>
      </c>
      <c r="D14" s="14" t="n">
        <v>142</v>
      </c>
      <c r="E14" s="22" t="n">
        <v>0.364</v>
      </c>
      <c r="F14" s="22" t="n">
        <v>0.4062</v>
      </c>
      <c r="G14" s="22" t="n">
        <v>0.4336</v>
      </c>
      <c r="H14" s="22" t="n">
        <v>0.3971</v>
      </c>
      <c r="I14" s="22" t="n">
        <v>0.2807</v>
      </c>
      <c r="J14" s="14" t="n">
        <v>0.2996</v>
      </c>
      <c r="K14" s="14" t="n">
        <v>0.2342</v>
      </c>
      <c r="L14" s="14" t="n">
        <v>0.4472</v>
      </c>
      <c r="M14" s="24" t="n">
        <f aca="false">12*1+1*3</f>
        <v>15</v>
      </c>
      <c r="N14" s="25" t="s">
        <v>117</v>
      </c>
    </row>
    <row r="15" customFormat="false" ht="12.8" hidden="false" customHeight="false" outlineLevel="0" collapsed="false">
      <c r="A15" s="11"/>
      <c r="M15" s="24"/>
      <c r="N15" s="11"/>
    </row>
    <row r="16" customFormat="false" ht="46.95" hidden="false" customHeight="false" outlineLevel="0" collapsed="false">
      <c r="A16" s="31" t="s">
        <v>132</v>
      </c>
      <c r="B16" s="11" t="s">
        <v>133</v>
      </c>
      <c r="C16" s="20" t="s">
        <v>116</v>
      </c>
      <c r="D16" s="14" t="n">
        <v>144</v>
      </c>
      <c r="E16" s="22" t="n">
        <v>0.3604</v>
      </c>
      <c r="F16" s="22" t="n">
        <v>0.3927</v>
      </c>
      <c r="G16" s="22" t="n">
        <v>0.422</v>
      </c>
      <c r="H16" s="22" t="n">
        <v>0.3919</v>
      </c>
      <c r="I16" s="22" t="n">
        <v>0.2555</v>
      </c>
      <c r="J16" s="22" t="n">
        <v>0.326</v>
      </c>
      <c r="K16" s="22" t="n">
        <v>0.1845</v>
      </c>
      <c r="L16" s="14" t="n">
        <v>0.4263</v>
      </c>
      <c r="M16" s="24" t="n">
        <f aca="false">11*1+1*2+1*3</f>
        <v>16</v>
      </c>
      <c r="N16" s="25" t="s">
        <v>134</v>
      </c>
    </row>
    <row r="17" customFormat="false" ht="12.8" hidden="false" customHeight="false" outlineLevel="0" collapsed="false">
      <c r="A17" s="11"/>
      <c r="M17" s="24"/>
    </row>
    <row r="18" customFormat="false" ht="104.2" hidden="false" customHeight="false" outlineLevel="0" collapsed="false">
      <c r="A18" s="31" t="s">
        <v>135</v>
      </c>
      <c r="B18" s="29" t="s">
        <v>136</v>
      </c>
      <c r="C18" s="20" t="s">
        <v>116</v>
      </c>
      <c r="D18" s="14" t="n">
        <v>147</v>
      </c>
      <c r="E18" s="22" t="n">
        <v>0.3784</v>
      </c>
      <c r="F18" s="22" t="n">
        <v>0.406</v>
      </c>
      <c r="G18" s="22" t="n">
        <v>0.4326</v>
      </c>
      <c r="H18" s="22" t="n">
        <v>0.4064</v>
      </c>
      <c r="I18" s="22" t="n">
        <v>0.2178</v>
      </c>
      <c r="J18" s="22" t="n">
        <v>0.3633</v>
      </c>
      <c r="K18" s="22" t="n">
        <v>0.181</v>
      </c>
      <c r="L18" s="14" t="n">
        <v>0.4537</v>
      </c>
      <c r="M18" s="24" t="n">
        <f aca="false">10*1+1*2+2*3</f>
        <v>18</v>
      </c>
      <c r="N18" s="25" t="s">
        <v>137</v>
      </c>
    </row>
    <row r="19" customFormat="false" ht="12.8" hidden="false" customHeight="false" outlineLevel="0" collapsed="false">
      <c r="A19" s="11"/>
    </row>
    <row r="20" customFormat="false" ht="12.8" hidden="false" customHeight="false" outlineLevel="0" collapsed="false">
      <c r="A20" s="11"/>
    </row>
    <row r="21" customFormat="false" ht="12.8" hidden="false" customHeight="false" outlineLevel="0" collapsed="false">
      <c r="A21" s="11"/>
    </row>
    <row r="22" customFormat="false" ht="12.8" hidden="false" customHeight="false" outlineLevel="0" collapsed="false">
      <c r="A22" s="11"/>
    </row>
    <row r="23" customFormat="false" ht="12.8" hidden="false" customHeight="false" outlineLevel="0" collapsed="false">
      <c r="A23" s="11"/>
    </row>
    <row r="24" customFormat="false" ht="12.8" hidden="false" customHeight="false" outlineLevel="0" collapsed="false">
      <c r="A24" s="11"/>
    </row>
    <row r="25" customFormat="false" ht="12.8" hidden="false" customHeight="false" outlineLevel="0" collapsed="false">
      <c r="A25" s="1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354</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2025-12-06T08:44:19Z</dcterms:created>
  <dc:creator/>
  <dc:description/>
  <dc:language>en-AU</dc:language>
  <cp:lastModifiedBy/>
  <dcterms:modified xsi:type="dcterms:W3CDTF">2025-12-31T22:47:43Z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