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Sheet1" sheetId="1" state="visible" r:id="rId3"/>
    <sheet name="Sheet2" sheetId="2" state="visible" r:id="rId4"/>
    <sheet name="Sheet3" sheetId="3" state="visible" r:id="rId5"/>
    <sheet name="Sheet4" sheetId="4" state="visible" r:id="rId6"/>
    <sheet name="XSS Set" sheetId="5" state="visible" r:id="rId7"/>
    <sheet name="CREDS Set" sheetId="6" state="visible" r:id="rId8"/>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<sst xmlns="http://schemas.openxmlformats.org/spreadsheetml/2006/main" count="528" uniqueCount="225">
  <si>
    <t xml:space="preserve">BM25s results</t>
  </si>
  <si>
    <t xml:space="preserve">In vector search</t>
  </si>
  <si>
    <t xml:space="preserve">CD_and_DevOps Review.pdf.bm25s  Rank 1 (score: 1.13): sr-128-2-3 outdated jenkins software</t>
  </si>
  <si>
    <t xml:space="preserve">Y</t>
  </si>
  <si>
    <t xml:space="preserve">phpMyAdmin.pdf.bm25s  Rank 1 (score: 0.57): vulnerability overly permissive content security policy</t>
  </si>
  <si>
    <t xml:space="preserve">phpMyAdmin.pdf.bm25s  Rank 2 (score: 0.44): vulnerability self xss in table_row_action.php</t>
  </si>
  <si>
    <t xml:space="preserve">Refinery-CMS.pdf.bm25s  Rank 1 (score: 0.30): pt-rcms-001: stored xss in the title text in the image upload</t>
  </si>
  <si>
    <t xml:space="preserve">Refinery-CMS.pdf.bm25s  Rank 2 (score: 0.30): pt-rcms-002: stored xss in the alt text in the image upload</t>
  </si>
  <si>
    <t xml:space="preserve">Refinery-CMS.pdf.bm25s  Rank 3 (score: 0.30): pt-rcms-003: stored xss in the title of the add new page</t>
  </si>
  <si>
    <t xml:space="preserve">Web App and Ext Infrastructure Report.pdf.bm25s  Rank 1 (score: 1.50): sr-101-003 reflected cross-site scripting</t>
  </si>
  <si>
    <t xml:space="preserve">Wikimedia.pdf.bm25s  Rank 1 (score: 0.91): 1. reﬂected xss in api.php</t>
  </si>
  <si>
    <t xml:space="preserve">Wikimedia.pdf.bm25s  Rank 2 (score: 0.62): 7. stored xss in pdf ﬁles</t>
  </si>
  <si>
    <t xml:space="preserve">Wikimedia.pdf.bm25s  Rank 3 (score: 0.48): 3. stored xss in uploaded svg ﬁles</t>
  </si>
  <si>
    <t xml:space="preserve">Web App and Infrastructure and Mobile Report.pdf.bm25s  Rank 1 (score: 1.05): sr-102-001 reflected cross-site scripting (xss)</t>
  </si>
  <si>
    <t xml:space="preserve">HyDE from Gemini for query “XSS”</t>
  </si>
  <si>
    <t xml:space="preserve">HyDE from Llama for query “all XSS vulnerabilities”</t>
  </si>
  <si>
    <t xml:space="preserve">XSS, or Cross-Site Scripting, is a web security vulnerability that allows attackers to inject malicious client-side scripts into web pages viewed by other users. These scripts can then steal user data, hijack sessions, or deface websites by executing within the victim's browser.</t>
  </si>
  <si>
    <t xml:space="preserve">Cross-Site Scripting (XSS) vulnerabilities occur when an attacker injects malicious code into a website, which is then executed by other users' browsers. There are three types of XSS vulnerabilities: Stored XSS (also known as Persistent XSS), Reflected XSS, and DOM-based XSS.</t>
  </si>
  <si>
    <t xml:space="preserve">Gemini – 11 hits – 9 relevant</t>
  </si>
  <si>
    <t xml:space="preserve">Vector Distance</t>
  </si>
  <si>
    <t xml:space="preserve">Rank bm25s</t>
  </si>
  <si>
    <t xml:space="preserve">Score bm25s</t>
  </si>
  <si>
    <t xml:space="preserve">PT-RCMS-003 Stored XSS in the Title of the ADD NEW PAGE</t>
  </si>
  <si>
    <t xml:space="preserve">Rank 3 </t>
  </si>
  <si>
    <t xml:space="preserve">Vulnerability Overly Permissive Content Security Policy</t>
  </si>
  <si>
    <t xml:space="preserve">Rank 1</t>
  </si>
  <si>
    <t xml:space="preserve">PT-RCMS-002 Stored XSS in the ALT Text in the image upload</t>
  </si>
  <si>
    <t xml:space="preserve">Rank 2</t>
  </si>
  <si>
    <t xml:space="preserve">PT-RCMS-001 Stored XSS in the Title Text in the image upload</t>
  </si>
  <si>
    <t xml:space="preserve">Reflected XSS in api.php</t>
  </si>
  <si>
    <t xml:space="preserve">Stored XSS in PDF files</t>
  </si>
  <si>
    <t xml:space="preserve">SR-101-003 Reflected Cross-Site Scripting</t>
  </si>
  <si>
    <t xml:space="preserve">Stored XSS in uploaded SVG files</t>
  </si>
  <si>
    <t xml:space="preserve">SR-128-2-3 Outdated Jenkins Software</t>
  </si>
  <si>
    <t xml:space="preserve">Vulnerability Self XSS in table_row_action.php</t>
  </si>
  <si>
    <t xml:space="preserve">SR-102-001 Reflected Cross-Site Scripting (XSS)</t>
  </si>
  <si>
    <t xml:space="preserve">Llama  – 27 hits – 9 relevant</t>
  </si>
  <si>
    <t xml:space="preserve">sr-103-016 sql server configured to run in mixed mode</t>
  </si>
  <si>
    <t xml:space="preserve">sr-103-002 oracle tns listener poisoning attack</t>
  </si>
  <si>
    <t xml:space="preserve">sr-103-011 sql server running as local system</t>
  </si>
  <si>
    <t xml:space="preserve">sr-103-012 c2 audit was not configured (via sp_configure).</t>
  </si>
  <si>
    <t xml:space="preserve">Rank 4</t>
  </si>
  <si>
    <t xml:space="preserve">ncc-1604_moss_phpmyadmin-008 self xss in table_row_action.php</t>
  </si>
  <si>
    <t xml:space="preserve">ncc-1604_moss_phpmyadmin-005 vulnerability sensitive values vulnerable to session fixation</t>
  </si>
  <si>
    <t xml:space="preserve">ncc-1604_moss_phpmyadmin-009 ability to unset arbitrary server global variables</t>
  </si>
  <si>
    <t xml:space="preserve">nccgrpphp-007 php api calls without side effects</t>
  </si>
  <si>
    <t xml:space="preserve">nccgrpphp-008 unreachable code</t>
  </si>
  <si>
    <t xml:space="preserve">nccgrpphp-002 hard-coded trivial credentials</t>
  </si>
  <si>
    <t xml:space="preserve">nccgrpphp-006 hard-coded static secrets</t>
  </si>
  <si>
    <t xml:space="preserve">nccgrpphp-004 todo comments indicate incomplete code</t>
  </si>
  <si>
    <t xml:space="preserve">Rank 5</t>
  </si>
  <si>
    <t xml:space="preserve">nccgrpphp-011 hard-coded urls and cloud bucket names</t>
  </si>
  <si>
    <t xml:space="preserve">Rank 6</t>
  </si>
  <si>
    <t xml:space="preserve">pt-rcms-003 stored xss in the title of the add new page (medium)</t>
  </si>
  <si>
    <t xml:space="preserve">pt-rcms-002 stored xss in the alt text in the image upload (medium)</t>
  </si>
  <si>
    <t xml:space="preserve">pt-rcms-001 stored xss in the title text in the image upload (medium)</t>
  </si>
  <si>
    <t xml:space="preserve">ncc-samplewapt-007 finding design pattern creates risk of server-side request forgery (ssrf)</t>
  </si>
  <si>
    <t xml:space="preserve">ncc-samplewapt-002 users can become other users via manipulated jwt</t>
  </si>
  <si>
    <t xml:space="preserve">sr-101-003 reflected cross-site scripting</t>
  </si>
  <si>
    <t xml:space="preserve">sr-101-013 directory listings were enabled for the site.</t>
  </si>
  <si>
    <t xml:space="preserve">isec-wmf1214-8 reflected xss in api.php</t>
  </si>
  <si>
    <t xml:space="preserve">isec-wmf1214-14 stored xss in pdf files </t>
  </si>
  <si>
    <t xml:space="preserve">isec-wmf1214-11 stored xss in uploaded svg files</t>
  </si>
  <si>
    <t xml:space="preserve">isec-wmf1214-7 users can inspect each other's personal javascript</t>
  </si>
  <si>
    <t xml:space="preserve">isec-wmf1214-6 check user page lacks cross site request forgery (csrf) protection</t>
  </si>
  <si>
    <t xml:space="preserve">sr-102-001 reflected cross-site scripting (xss)</t>
  </si>
  <si>
    <t xml:space="preserve">sr-102-009 hard-coded credentials </t>
  </si>
  <si>
    <t xml:space="preserve">Llama  – bm25s sorted by score</t>
  </si>
  <si>
    <t xml:space="preserve">Updated index algo</t>
  </si>
  <si>
    <t xml:space="preserve">ONLY TITLE</t>
  </si>
  <si>
    <t xml:space="preserve">HyDE</t>
  </si>
  <si>
    <t xml:space="preserve">multi</t>
  </si>
  <si>
    <t xml:space="preserve">rewrite</t>
  </si>
  <si>
    <t xml:space="preserve">XSS issues</t>
  </si>
  <si>
    <t xml:space="preserve">Reports</t>
  </si>
  <si>
    <t xml:space="preserve">get all xss issues</t>
  </si>
  <si>
    <t xml:space="preserve">xss cross side scripting stored reflected dom selfxss</t>
  </si>
  <si>
    <t xml:space="preserve">stored xss cross-site scripting reflected self-xss</t>
  </si>
  <si>
    <t xml:space="preserve">xss issues</t>
  </si>
  <si>
    <t xml:space="preserve">stored xss in the title text in the image upload </t>
  </si>
  <si>
    <t xml:space="preserve">Refinery-CMS.pdf </t>
  </si>
  <si>
    <t xml:space="preserve">stored xss in the alt text in the image upload </t>
  </si>
  <si>
    <t xml:space="preserve">stored xss in refinery cms add new page title </t>
  </si>
  <si>
    <t xml:space="preserve">reflected cross-site scripting </t>
  </si>
  <si>
    <t xml:space="preserve">Web App and Ext Infrastructure Report.pdf </t>
  </si>
  <si>
    <t xml:space="preserve">reflected xss in api.php </t>
  </si>
  <si>
    <t xml:space="preserve">wikimedia.pdf </t>
  </si>
  <si>
    <t xml:space="preserve">stored xss in pdf files </t>
  </si>
  <si>
    <t xml:space="preserve">stored xss in uploaded svg files </t>
  </si>
  <si>
    <t xml:space="preserve">reflected cross-site scripting (xss) </t>
  </si>
  <si>
    <t xml:space="preserve">phpMyAdmin.pdf </t>
  </si>
  <si>
    <t xml:space="preserve">self xss in table_row_action.php </t>
  </si>
  <si>
    <t xml:space="preserve">Original query</t>
  </si>
  <si>
    <t xml:space="preserve">Cross-Site Scripting (XSS) issues occur when an attacker injects malicious code, such as JavaScript, into a web application's sensitive data, allowing them to steal or modify user credentials, session IDs, or other sensitive information. To mitigate XSS, developers should validate and sanitize user input, use output encoding, and implement Content Security Policy (CSP)headers to restrict the types of scripts that can be executed on a webpage.</t>
  </si>
  <si>
    <t xml:space="preserve">Original</t>
  </si>
  <si>
    <t xml:space="preserve">Web App and Infrastructure and Mobile Report.pdf</t>
  </si>
  <si>
    <t xml:space="preserve">Range</t>
  </si>
  <si>
    <t xml:space="preserve">Variance</t>
  </si>
  <si>
    <t xml:space="preserve">Std Deviation</t>
  </si>
  <si>
    <r>
      <rPr>
        <sz val="10"/>
        <rFont val="Arial"/>
        <family val="2"/>
        <charset val="1"/>
      </rPr>
      <t xml:space="preserve">1</t>
    </r>
    <r>
      <rPr>
        <vertAlign val="superscript"/>
        <sz val="10"/>
        <rFont val="Arial"/>
        <family val="2"/>
        <charset val="1"/>
      </rPr>
      <t xml:space="preserve">st</t>
    </r>
    <r>
      <rPr>
        <sz val="10"/>
        <rFont val="Arial"/>
        <family val="2"/>
        <charset val="1"/>
      </rPr>
      <t xml:space="preserve"> Quartile</t>
    </r>
  </si>
  <si>
    <t xml:space="preserve">Median</t>
  </si>
  <si>
    <t xml:space="preserve">Semantic cut-off</t>
  </si>
  <si>
    <t xml:space="preserve">Query</t>
  </si>
  <si>
    <t xml:space="preserve">Pass/Fail</t>
  </si>
  <si>
    <t xml:space="preserve"># Items</t>
  </si>
  <si>
    <t xml:space="preserve">Quartile 1</t>
  </si>
  <si>
    <t xml:space="preserve">Quartile 2</t>
  </si>
  <si>
    <t xml:space="preserve">Quartile 3</t>
  </si>
  <si>
    <t xml:space="preserve">Mean</t>
  </si>
  <si>
    <t xml:space="preserve">Mean of Set</t>
  </si>
  <si>
    <t xml:space="preserve">Range of Set</t>
  </si>
  <si>
    <t xml:space="preserve">Outlier of Set</t>
  </si>
  <si>
    <t xml:space="preserve">Score</t>
  </si>
  <si>
    <t xml:space="preserve">Notes on Semantic search</t>
  </si>
  <si>
    <t xml:space="preserve">Fail</t>
  </si>
  <si>
    <t xml:space="preserve">6 out of 13 test values returned.</t>
  </si>
  <si>
    <t xml:space="preserve">Pass</t>
  </si>
  <si>
    <t xml:space="preserve">12 test values in Q1. 1 test value in Q3.</t>
  </si>
  <si>
    <t xml:space="preserve">Multi</t>
  </si>
  <si>
    <t xml:space="preserve"> 'What are the most common types of cross-site scripting (XSS) vulnerabilities?',  'Can you provide information on how to prevent and mitigate Cross Site Scripting attacks?',  'I'm looking for examples of XSS security risks, what should I be aware of?',  'How do I identify potential XSS issues in web applications?',  'What is the impact of not addressing XSS attacks on user data and application security?”</t>
  </si>
  <si>
    <t xml:space="preserve">11 test values in Q1. 1 test value in Q2. 1 test value in Q3.</t>
  </si>
  <si>
    <t xml:space="preserve">Compress</t>
  </si>
  <si>
    <t xml:space="preserve">xss issue</t>
  </si>
  <si>
    <t xml:space="preserve">5 out of 13 test values returned.</t>
  </si>
  <si>
    <t xml:space="preserve">Rewrite</t>
  </si>
  <si>
    <t xml:space="preserve">Based on the original query "xss issues", I'll provide a rewritten query that may improve retrieval chances:**Rewritten Query:** "owasp top 10 xss vulnerabilities mitigation"Here's why I made these changes:1. **Added specific information**: By mentioning OWASP (Open Web Application Security Project) Top 10, we're targeting a widely-referenced and authoritative resource on web application security.2. **Specified vulnerability type**: Including "xss" as part of the query ensures that search results focus specifically on Cross-Site Scripting vulnerabilities.3. **Used relevant keywords**: Adding "vulnerabilities" and "mitigation" covers both the issue itself (identifying XSS vulnerabilities) and the solution (how to mitigate them), increasing the chances of retrieving relevant documents.This rewritten query should retrieve documents that provide actionable advice, examples, or guidelines for identifying and fixing XSS issues in accordance with OWASP recommendations. </t>
  </si>
  <si>
    <t xml:space="preserve">9 test values in Q1. 2 test value in Q2. 2 test value in Q3.</t>
  </si>
  <si>
    <t xml:space="preserve">Rewrite Short</t>
  </si>
  <si>
    <t xml:space="preserve">owasp top 10 xss vulnerabilities mitigation </t>
  </si>
  <si>
    <t xml:space="preserve">11 out of 13 test values returned.</t>
  </si>
  <si>
    <t xml:space="preserve">HyDE+Compress</t>
  </si>
  <si>
    <t xml:space="preserve">Cross site Scripting XSS issue occur attacker inject malicious code such JavaScript web application sensitive datum allow steal modify user information prevent XSS web developer validate sanitize user input use Content Security Policy CSP header keep dependency date ensure third party library vulnerable exploit</t>
  </si>
  <si>
    <t xml:space="preserve">Multi+Compress</t>
  </si>
  <si>
    <t xml:space="preserve">most common type cross site scripting XSS vulnerability provide information prevent mitigate Cross Site scripting attack look example XSS security risk aware identify potential XSS issue web application impact address XSS attack user datum application security</t>
  </si>
  <si>
    <t xml:space="preserve">11 test values in Q1. 1 test value in Q2. 1 test value in Q3. </t>
  </si>
  <si>
    <t xml:space="preserve">Rewrite+Compress</t>
  </si>
  <si>
    <t xml:space="preserve">base original query xss issue provide rewrite query improve retrieval chance  rewrite Query owasp top 10 xss vulnerability mitigation  here make change  1 add specific information mention OWASP Open web Application Security Project Top 10 target widely reference authoritative resource web application security  2 specified vulnerability type include xss part query ensure search result focus specifically Cross site Scripting vulnerability  3 use relevant keyword add vulnerability mitigation cover issue identify XSS vulnerability solution mitigate increase chance retrieve relevant document  rewrite query retrieve document provide actionable advice example guideline identify fix XSS issue accordance OWASP recommendation </t>
  </si>
  <si>
    <t xml:space="preserve">10 test values in Q1. 1 test value in Q2. 2 test value in Q3.</t>
  </si>
  <si>
    <t xml:space="preserve">ORIGINAL HYDE MULTI REWRITE BM25SORIG BM25PREP – NO PREP</t>
  </si>
  <si>
    <t xml:space="preserve">Stemmer No Prep 89%</t>
  </si>
  <si>
    <t xml:space="preserve">No Stemmer No Prep 88%</t>
  </si>
  <si>
    <t xml:space="preserve">No Stemmer, No Compress Np Prep 91%</t>
  </si>
  <si>
    <t xml:space="preserve">No Stemmer, No Compress, Prep 91%</t>
  </si>
  <si>
    <t xml:space="preserve">+</t>
  </si>
  <si>
    <t xml:space="preserve">stored xss in refinery cms add new page title</t>
  </si>
  <si>
    <t xml:space="preserve">stored xss in pdf files</t>
  </si>
  <si>
    <t xml:space="preserve">self xss in table_row_action.php</t>
  </si>
  <si>
    <t xml:space="preserve">stored xss in the alt text in the image upload</t>
  </si>
  <si>
    <t xml:space="preserve">stored xss in the title text in the image upload</t>
  </si>
  <si>
    <t xml:space="preserve">-</t>
  </si>
  <si>
    <t xml:space="preserve">check user page lacks cross site request forgery (csrf) protection</t>
  </si>
  <si>
    <t xml:space="preserve">reflected xss in api.php</t>
  </si>
  <si>
    <t xml:space="preserve">users can inspect each other's personal javascript</t>
  </si>
  <si>
    <t xml:space="preserve">stored xss in uploaded svg files</t>
  </si>
  <si>
    <t xml:space="preserve">session fixation vulnerability</t>
  </si>
  <si>
    <t xml:space="preserve">phpmyadmin content security policy</t>
  </si>
  <si>
    <t xml:space="preserve">reflected cross-site scripting (xss)</t>
  </si>
  <si>
    <t xml:space="preserve">finding sensitive production data used in staging</t>
  </si>
  <si>
    <t xml:space="preserve">application uses weak hash to store passwords</t>
  </si>
  <si>
    <t xml:space="preserve">custom javascript may yield privilege escalation</t>
  </si>
  <si>
    <t xml:space="preserve">login/logout actions vulnerable to csrf</t>
  </si>
  <si>
    <t xml:space="preserve">multiple complex authentication methods</t>
  </si>
  <si>
    <t xml:space="preserve">reflected cross-site scripting</t>
  </si>
  <si>
    <t xml:space="preserve">uploaded file types were not restricted</t>
  </si>
  <si>
    <t xml:space="preserve">revenue generating advertisement delivery can be bypassed</t>
  </si>
  <si>
    <t xml:space="preserve">unencrypted communication channel in camera web services</t>
  </si>
  <si>
    <t xml:space="preserve">lack of upper limit on password length allows dos</t>
  </si>
  <si>
    <t xml:space="preserve">multiple http plaintext links</t>
  </si>
  <si>
    <t xml:space="preserve">user access roles are public</t>
  </si>
  <si>
    <t xml:space="preserve">wsld descriptions could be obtained by unauthenticated users</t>
  </si>
  <si>
    <t xml:space="preserve">ability to unset arbitrary server global variables</t>
  </si>
  <si>
    <t xml:space="preserve">vulnerability in url get query parameters</t>
  </si>
  <si>
    <t xml:space="preserve">outdated jenkins software</t>
  </si>
  <si>
    <t xml:space="preserve">csrf protection disabled</t>
  </si>
  <si>
    <t xml:space="preserve">oracle tns listener poisoning attack</t>
  </si>
  <si>
    <t xml:space="preserve">unreachable code</t>
  </si>
  <si>
    <t xml:space="preserve">file traversal protection bypass on error reporting</t>
  </si>
  <si>
    <t xml:space="preserve">external reference in svg class: data validation vulnerability</t>
  </si>
  <si>
    <t xml:space="preserve">ORIGINAL-PREPPROCESS  HYDE--PREPPROCESS  MULTI-PREPPROCESS REWRITE-PREPPROCESS  BM25SORIG-PREPPROCESS  BM25PREP-PREPPROCESS No Stemmer – 94%</t>
  </si>
  <si>
    <t xml:space="preserve">+ 0.0879 finding weak administrative credentials </t>
  </si>
  <si>
    <t xml:space="preserve"> tstorg-examplecorp001-011</t>
  </si>
  <si>
    <t xml:space="preserve">+ 0.0839 credentials in github repository </t>
  </si>
  <si>
    <t xml:space="preserve"> sr-128-1-2</t>
  </si>
  <si>
    <t xml:space="preserve">+ 0.0829 hard-coded credentials </t>
  </si>
  <si>
    <t xml:space="preserve"> sr-102-009</t>
  </si>
  <si>
    <t xml:space="preserve">+ 0.0791 hard-coded trivial credentials </t>
  </si>
  <si>
    <t xml:space="preserve"> testorgphp-002</t>
  </si>
  <si>
    <t xml:space="preserve">+ 0.0758 user without mfa enabled </t>
  </si>
  <si>
    <t xml:space="preserve"> sr-109-004</t>
  </si>
  <si>
    <t xml:space="preserve">+ 0.0698 default passwords </t>
  </si>
  <si>
    <t xml:space="preserve"> sr-103-003</t>
  </si>
  <si>
    <t xml:space="preserve">+ 0.0664 clear text credentials </t>
  </si>
  <si>
    <t xml:space="preserve"> sr-128-2-5</t>
  </si>
  <si>
    <t xml:space="preserve">+ 0.0650 use of shared administrator credentials </t>
  </si>
  <si>
    <t xml:space="preserve"> tstorg-examplecorp001-002</t>
  </si>
  <si>
    <t xml:space="preserve">+ 0.0617 multiple complex authentication methods </t>
  </si>
  <si>
    <t xml:space="preserve"> testorg-samplewapt-009</t>
  </si>
  <si>
    <t xml:space="preserve">- 0.0596 check user page lacks cross site request forgery (csrf) protection </t>
  </si>
  <si>
    <t xml:space="preserve"> tstorg-wmf1214-6</t>
  </si>
  <si>
    <t xml:space="preserve">- 0.0577 application uses weak hash to store passwords </t>
  </si>
  <si>
    <t xml:space="preserve"> tstorg-examplecorp001-010</t>
  </si>
  <si>
    <t xml:space="preserve">+ 0.0573 weak password policy </t>
  </si>
  <si>
    <t xml:space="preserve"> tstorg-wmf1214-2</t>
  </si>
  <si>
    <t xml:space="preserve">+ 0.0572 lack of upper limit on password length allows dos </t>
  </si>
  <si>
    <t xml:space="preserve"> tstorg-wmf1214-1</t>
  </si>
  <si>
    <t xml:space="preserve">+ 0.0565 enforce password expiration not set </t>
  </si>
  <si>
    <t xml:space="preserve"> sr-103-015</t>
  </si>
  <si>
    <t xml:space="preserve">+ 0.0562 iam password policy </t>
  </si>
  <si>
    <t xml:space="preserve"> sr-128-3-2</t>
  </si>
  <si>
    <t xml:space="preserve">- 0.0546 login auditing failed logins only </t>
  </si>
  <si>
    <t xml:space="preserve"> sr-103-019</t>
  </si>
  <si>
    <t xml:space="preserve">+ 0.0545 default profile settings not configured </t>
  </si>
  <si>
    <t xml:space="preserve"> sr-103-005</t>
  </si>
  <si>
    <t xml:space="preserve">- 0.0543 username enumeration via login function </t>
  </si>
  <si>
    <t xml:space="preserve"> sr-102-004</t>
  </si>
  <si>
    <t xml:space="preserve">+ 0.0529 public role permissions on xp_instance_regread and xp_regread stored procedures </t>
  </si>
  <si>
    <t xml:space="preserve"> sr-103-017</t>
  </si>
  <si>
    <t xml:space="preserve">+ 0.0528 weak password complexity requirements </t>
  </si>
  <si>
    <t xml:space="preserve"> tstorg-examplecorp001-009</t>
  </si>
  <si>
    <t xml:space="preserve">- 0.0528 plaintext passwords written to logs </t>
  </si>
  <si>
    <t xml:space="preserve"> tstorg-examplecorp001-012</t>
  </si>
  <si>
    <t xml:space="preserve">- 0.0525 invalid ssl certificate </t>
  </si>
  <si>
    <t xml:space="preserve"> sr-101-010</t>
  </si>
  <si>
    <t xml:space="preserve">+ 0.0523 iam password policy </t>
  </si>
  <si>
    <t xml:space="preserve"> sr-109-005</t>
  </si>
</sst>
</file>

<file path=xl/styles.xml><?xml version="1.0" encoding="utf-8"?>
<styleSheet xmlns="http://schemas.openxmlformats.org/spreadsheetml/2006/main">
  <numFmts count="3">
    <numFmt numFmtId="164" formatCode="General"/>
    <numFmt numFmtId="165" formatCode="0.0000"/>
    <numFmt numFmtId="166" formatCode="0"/>
  </numFmts>
  <fonts count="6">
    <font>
      <sz val="10"/>
      <name val="Arial"/>
      <family val="2"/>
      <charset val="1"/>
    </font>
    <font>
      <sz val="10"/>
      <name val="Arial"/>
      <family val="0"/>
    </font>
    <font>
      <sz val="10"/>
      <name val="Arial"/>
      <family val="0"/>
    </font>
    <font>
      <sz val="10"/>
      <name val="Arial"/>
      <family val="0"/>
    </font>
    <font>
      <vertAlign val="superscript"/>
      <sz val="10"/>
      <name val="Arial"/>
      <family val="2"/>
      <charset val="1"/>
    </font>
    <font>
      <sz val="10"/>
      <name val="Arial"/>
      <family val="2"/>
    </font>
  </fonts>
  <fills count="7">
    <fill>
      <patternFill patternType="none"/>
    </fill>
    <fill>
      <patternFill patternType="gray125"/>
    </fill>
    <fill>
      <patternFill patternType="solid">
        <fgColor rgb="FFBBE33D"/>
        <bgColor rgb="FFE8F2A1"/>
      </patternFill>
    </fill>
    <fill>
      <patternFill patternType="solid">
        <fgColor rgb="FFB4C7DC"/>
        <bgColor rgb="FFCCCCFF"/>
      </patternFill>
    </fill>
    <fill>
      <patternFill patternType="solid">
        <fgColor rgb="FFFFD8CE"/>
        <bgColor rgb="FFFFD7D7"/>
      </patternFill>
    </fill>
    <fill>
      <patternFill patternType="solid">
        <fgColor rgb="FFE8F2A1"/>
        <bgColor rgb="FFCCFFCC"/>
      </patternFill>
    </fill>
    <fill>
      <patternFill patternType="solid">
        <fgColor rgb="FFFFD7D7"/>
        <bgColor rgb="FFFFD8C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0" fillId="3"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4" borderId="0" xfId="0" applyFont="true" applyBorder="false" applyAlignment="true" applyProtection="true">
      <alignment horizontal="center" vertical="center" textRotation="0" wrapText="false" indent="0" shrinkToFit="false"/>
      <protection locked="true" hidden="false"/>
    </xf>
    <xf numFmtId="165" fontId="0" fillId="4" borderId="0" xfId="0" applyFont="false" applyBorder="false" applyAlignment="true" applyProtection="true">
      <alignment horizontal="center"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0" fillId="3" borderId="0" xfId="0" applyFont="true" applyBorder="false" applyAlignment="true" applyProtection="true">
      <alignment horizontal="center" vertical="center" textRotation="0" wrapText="true" indent="0" shrinkToFit="false"/>
      <protection locked="true" hidden="false"/>
    </xf>
    <xf numFmtId="166" fontId="0" fillId="0" borderId="0" xfId="0" applyFont="false" applyBorder="false" applyAlignment="true" applyProtection="true">
      <alignment horizontal="center" vertical="center" textRotation="0" wrapText="false" indent="0" shrinkToFit="false"/>
      <protection locked="true" hidden="false"/>
    </xf>
    <xf numFmtId="165" fontId="0" fillId="0" borderId="0" xfId="0" applyFont="false" applyBorder="false" applyAlignment="true" applyProtection="true">
      <alignment horizontal="center" vertical="center" textRotation="0" wrapText="false" indent="0" shrinkToFit="false"/>
      <protection locked="true" hidden="false"/>
    </xf>
    <xf numFmtId="165" fontId="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6" fontId="0" fillId="4" borderId="0" xfId="0" applyFont="fals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left" vertical="bottom" textRotation="0" wrapText="false" indent="0" shrinkToFit="false"/>
      <protection locked="true" hidden="false"/>
    </xf>
    <xf numFmtId="164" fontId="0" fillId="6" borderId="0" xfId="0" applyFont="true" applyBorder="true" applyAlignment="true" applyProtection="true">
      <alignment horizontal="left" vertical="bottom" textRotation="0" wrapText="false" indent="0" shrinkToFit="false"/>
      <protection locked="true" hidden="false"/>
    </xf>
    <xf numFmtId="164" fontId="0" fillId="6" borderId="0" xfId="0" applyFont="true" applyBorder="true" applyAlignment="true" applyProtection="true">
      <alignment horizontal="general" vertical="bottom" textRotation="0" wrapText="false" indent="0" shrinkToFit="false"/>
      <protection locked="true" hidden="false"/>
    </xf>
    <xf numFmtId="164" fontId="0" fillId="6" borderId="0" xfId="0" applyFont="true" applyBorder="true" applyAlignment="true" applyProtection="true">
      <alignment horizontal="general" vertical="top"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D7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E8F2A1"/>
      <rgbColor rgb="FF99CCFF"/>
      <rgbColor rgb="FFFF99CC"/>
      <rgbColor rgb="FFCC99FF"/>
      <rgbColor rgb="FFFFD8CE"/>
      <rgbColor rgb="FF3366FF"/>
      <rgbColor rgb="FF33CCCC"/>
      <rgbColor rgb="FFBBE33D"/>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F73" activeCellId="0" sqref="F73"/>
    </sheetView>
  </sheetViews>
  <sheetFormatPr defaultColWidth="11.53515625" defaultRowHeight="12.8" customHeight="true" zeroHeight="false" outlineLevelRow="0" outlineLevelCol="0"/>
  <cols>
    <col collapsed="false" customWidth="true" hidden="false" outlineLevel="0" max="1" min="1" style="1" width="115.48"/>
    <col collapsed="false" customWidth="true" hidden="false" outlineLevel="0" max="2" min="2" style="1" width="20.16"/>
    <col collapsed="false" customWidth="true" hidden="false" outlineLevel="0" max="4" min="4" style="1" width="13.22"/>
  </cols>
  <sheetData>
    <row r="1" customFormat="false" ht="12.8" hidden="false" customHeight="false" outlineLevel="0" collapsed="false">
      <c r="A1" s="1" t="s">
        <v>0</v>
      </c>
      <c r="B1" s="1" t="s">
        <v>1</v>
      </c>
    </row>
    <row r="3" customFormat="false" ht="12.8" hidden="false" customHeight="false" outlineLevel="0" collapsed="false">
      <c r="A3" s="1" t="s">
        <v>2</v>
      </c>
      <c r="B3" s="1" t="s">
        <v>3</v>
      </c>
    </row>
    <row r="4" customFormat="false" ht="12.8" hidden="false" customHeight="false" outlineLevel="0" collapsed="false">
      <c r="A4" s="1" t="s">
        <v>4</v>
      </c>
      <c r="B4" s="1" t="s">
        <v>3</v>
      </c>
    </row>
    <row r="5" customFormat="false" ht="12.8" hidden="false" customHeight="false" outlineLevel="0" collapsed="false">
      <c r="A5" s="1" t="s">
        <v>5</v>
      </c>
      <c r="B5" s="1" t="s">
        <v>3</v>
      </c>
    </row>
    <row r="6" customFormat="false" ht="12.8" hidden="false" customHeight="false" outlineLevel="0" collapsed="false">
      <c r="A6" s="1" t="s">
        <v>6</v>
      </c>
      <c r="B6" s="1" t="s">
        <v>3</v>
      </c>
    </row>
    <row r="7" customFormat="false" ht="12.8" hidden="false" customHeight="false" outlineLevel="0" collapsed="false">
      <c r="A7" s="1" t="s">
        <v>7</v>
      </c>
      <c r="B7" s="1" t="s">
        <v>3</v>
      </c>
    </row>
    <row r="8" customFormat="false" ht="12.8" hidden="false" customHeight="false" outlineLevel="0" collapsed="false">
      <c r="A8" s="1" t="s">
        <v>8</v>
      </c>
      <c r="B8" s="1" t="s">
        <v>3</v>
      </c>
    </row>
    <row r="9" customFormat="false" ht="12.8" hidden="false" customHeight="false" outlineLevel="0" collapsed="false">
      <c r="A9" s="1" t="s">
        <v>9</v>
      </c>
      <c r="B9" s="1" t="s">
        <v>3</v>
      </c>
    </row>
    <row r="10" customFormat="false" ht="12.8" hidden="false" customHeight="false" outlineLevel="0" collapsed="false">
      <c r="A10" s="1" t="s">
        <v>10</v>
      </c>
      <c r="B10" s="1" t="s">
        <v>3</v>
      </c>
    </row>
    <row r="11" customFormat="false" ht="12.8" hidden="false" customHeight="false" outlineLevel="0" collapsed="false">
      <c r="A11" s="1" t="s">
        <v>11</v>
      </c>
      <c r="B11" s="1" t="s">
        <v>3</v>
      </c>
    </row>
    <row r="12" customFormat="false" ht="12.8" hidden="false" customHeight="false" outlineLevel="0" collapsed="false">
      <c r="A12" s="1" t="s">
        <v>12</v>
      </c>
      <c r="B12" s="1" t="s">
        <v>3</v>
      </c>
    </row>
    <row r="13" customFormat="false" ht="12.8" hidden="false" customHeight="false" outlineLevel="0" collapsed="false">
      <c r="A13" s="1" t="s">
        <v>13</v>
      </c>
      <c r="B13" s="1" t="s">
        <v>3</v>
      </c>
    </row>
    <row r="16" customFormat="false" ht="12.8" hidden="false" customHeight="false" outlineLevel="0" collapsed="false">
      <c r="A16" s="1" t="s">
        <v>14</v>
      </c>
      <c r="B16" s="1" t="s">
        <v>15</v>
      </c>
    </row>
    <row r="18" customFormat="false" ht="63.25" hidden="false" customHeight="true" outlineLevel="0" collapsed="false">
      <c r="A18" s="2" t="s">
        <v>16</v>
      </c>
      <c r="B18" s="3" t="s">
        <v>17</v>
      </c>
      <c r="C18" s="3"/>
      <c r="D18" s="3"/>
      <c r="E18" s="3"/>
      <c r="F18" s="3"/>
      <c r="G18" s="3"/>
    </row>
    <row r="20" customFormat="false" ht="12.8" hidden="false" customHeight="false" outlineLevel="0" collapsed="false">
      <c r="A20" s="1" t="s">
        <v>18</v>
      </c>
      <c r="B20" s="1" t="s">
        <v>19</v>
      </c>
      <c r="C20" s="1" t="s">
        <v>20</v>
      </c>
      <c r="D20" s="1" t="s">
        <v>21</v>
      </c>
    </row>
    <row r="22" customFormat="false" ht="12.8" hidden="false" customHeight="false" outlineLevel="0" collapsed="false">
      <c r="A22" s="1" t="s">
        <v>22</v>
      </c>
      <c r="B22" s="4" t="n">
        <v>0.389871776103973</v>
      </c>
      <c r="C22" s="1" t="s">
        <v>23</v>
      </c>
      <c r="D22" s="4" t="n">
        <v>0.3</v>
      </c>
    </row>
    <row r="23" customFormat="false" ht="12.8" hidden="false" customHeight="false" outlineLevel="0" collapsed="false">
      <c r="A23" s="1" t="s">
        <v>24</v>
      </c>
      <c r="B23" s="4" t="n">
        <v>0.405798852443695</v>
      </c>
      <c r="C23" s="1" t="s">
        <v>25</v>
      </c>
      <c r="D23" s="4" t="n">
        <v>0.57</v>
      </c>
    </row>
    <row r="24" customFormat="false" ht="12.8" hidden="false" customHeight="false" outlineLevel="0" collapsed="false">
      <c r="A24" s="1" t="s">
        <v>26</v>
      </c>
      <c r="B24" s="4" t="n">
        <v>0.414772212505341</v>
      </c>
      <c r="C24" s="1" t="s">
        <v>27</v>
      </c>
      <c r="D24" s="4" t="n">
        <v>0.3</v>
      </c>
    </row>
    <row r="25" customFormat="false" ht="12.8" hidden="false" customHeight="false" outlineLevel="0" collapsed="false">
      <c r="A25" s="1" t="s">
        <v>28</v>
      </c>
      <c r="B25" s="4" t="n">
        <v>0.450511276721954</v>
      </c>
      <c r="C25" s="1" t="s">
        <v>25</v>
      </c>
      <c r="D25" s="4" t="n">
        <v>0.3</v>
      </c>
    </row>
    <row r="26" customFormat="false" ht="12.8" hidden="false" customHeight="false" outlineLevel="0" collapsed="false">
      <c r="A26" s="1" t="s">
        <v>29</v>
      </c>
      <c r="B26" s="4" t="n">
        <v>0.495845973491669</v>
      </c>
      <c r="C26" s="1" t="s">
        <v>25</v>
      </c>
      <c r="D26" s="4" t="n">
        <v>0.89</v>
      </c>
    </row>
    <row r="27" customFormat="false" ht="12.8" hidden="false" customHeight="false" outlineLevel="0" collapsed="false">
      <c r="A27" s="1" t="s">
        <v>30</v>
      </c>
      <c r="B27" s="4" t="n">
        <v>0.499034464359283</v>
      </c>
      <c r="C27" s="1" t="s">
        <v>27</v>
      </c>
      <c r="D27" s="4" t="n">
        <v>0.62</v>
      </c>
    </row>
    <row r="28" customFormat="false" ht="12.8" hidden="false" customHeight="false" outlineLevel="0" collapsed="false">
      <c r="A28" s="1" t="s">
        <v>31</v>
      </c>
      <c r="B28" s="4" t="n">
        <v>0.517503976821899</v>
      </c>
      <c r="C28" s="1" t="s">
        <v>25</v>
      </c>
      <c r="D28" s="4" t="n">
        <v>1.5</v>
      </c>
    </row>
    <row r="29" customFormat="false" ht="12.8" hidden="false" customHeight="false" outlineLevel="0" collapsed="false">
      <c r="A29" s="1" t="s">
        <v>32</v>
      </c>
      <c r="B29" s="4" t="n">
        <v>0.565147399902344</v>
      </c>
      <c r="C29" s="1" t="s">
        <v>23</v>
      </c>
      <c r="D29" s="4" t="n">
        <v>0.47</v>
      </c>
    </row>
    <row r="30" customFormat="false" ht="12.8" hidden="false" customHeight="false" outlineLevel="0" collapsed="false">
      <c r="A30" s="1" t="s">
        <v>33</v>
      </c>
      <c r="B30" s="4" t="n">
        <v>0.580743432044983</v>
      </c>
      <c r="C30" s="1" t="s">
        <v>25</v>
      </c>
      <c r="D30" s="4" t="n">
        <v>1.13</v>
      </c>
    </row>
    <row r="31" customFormat="false" ht="12.8" hidden="false" customHeight="false" outlineLevel="0" collapsed="false">
      <c r="A31" s="1" t="s">
        <v>34</v>
      </c>
      <c r="B31" s="4" t="n">
        <v>0.634622633457184</v>
      </c>
      <c r="C31" s="1" t="s">
        <v>27</v>
      </c>
      <c r="D31" s="4" t="n">
        <v>0.44</v>
      </c>
    </row>
    <row r="32" customFormat="false" ht="12.8" hidden="false" customHeight="false" outlineLevel="0" collapsed="false">
      <c r="A32" s="1" t="s">
        <v>35</v>
      </c>
      <c r="B32" s="4" t="n">
        <v>0.676891803741455</v>
      </c>
      <c r="C32" s="1" t="s">
        <v>25</v>
      </c>
      <c r="D32" s="4" t="n">
        <v>1.05</v>
      </c>
    </row>
    <row r="33" customFormat="false" ht="12.8" hidden="false" customHeight="false" outlineLevel="0" collapsed="false">
      <c r="B33" s="4"/>
      <c r="D33" s="4"/>
    </row>
    <row r="34" customFormat="false" ht="12.8" hidden="false" customHeight="false" outlineLevel="0" collapsed="false">
      <c r="B34" s="4"/>
      <c r="D34" s="4"/>
    </row>
    <row r="35" customFormat="false" ht="12.8" hidden="false" customHeight="false" outlineLevel="0" collapsed="false">
      <c r="A35" s="1" t="s">
        <v>36</v>
      </c>
      <c r="B35" s="4"/>
      <c r="C35" s="1" t="s">
        <v>20</v>
      </c>
      <c r="D35" s="1" t="s">
        <v>21</v>
      </c>
    </row>
    <row r="36" customFormat="false" ht="12.8" hidden="false" customHeight="false" outlineLevel="0" collapsed="false">
      <c r="B36" s="4"/>
      <c r="D36" s="4"/>
    </row>
    <row r="37" customFormat="false" ht="12.8" hidden="false" customHeight="false" outlineLevel="0" collapsed="false">
      <c r="A37" s="1" t="s">
        <v>37</v>
      </c>
      <c r="B37" s="4"/>
      <c r="C37" s="1" t="s">
        <v>25</v>
      </c>
      <c r="D37" s="4" t="n">
        <v>1.51</v>
      </c>
    </row>
    <row r="38" customFormat="false" ht="12.8" hidden="false" customHeight="false" outlineLevel="0" collapsed="false">
      <c r="A38" s="1" t="s">
        <v>38</v>
      </c>
      <c r="B38" s="4"/>
      <c r="C38" s="1" t="s">
        <v>27</v>
      </c>
      <c r="D38" s="4" t="n">
        <v>1.11</v>
      </c>
    </row>
    <row r="39" customFormat="false" ht="12.8" hidden="false" customHeight="false" outlineLevel="0" collapsed="false">
      <c r="A39" s="1" t="s">
        <v>39</v>
      </c>
      <c r="B39" s="4"/>
      <c r="C39" s="1" t="s">
        <v>23</v>
      </c>
      <c r="D39" s="4" t="n">
        <v>0.91</v>
      </c>
    </row>
    <row r="40" customFormat="false" ht="12.8" hidden="false" customHeight="false" outlineLevel="0" collapsed="false">
      <c r="A40" s="1" t="s">
        <v>40</v>
      </c>
      <c r="B40" s="4"/>
      <c r="C40" s="1" t="s">
        <v>41</v>
      </c>
      <c r="D40" s="4" t="n">
        <v>0.39</v>
      </c>
    </row>
    <row r="41" customFormat="false" ht="12.8" hidden="false" customHeight="false" outlineLevel="0" collapsed="false">
      <c r="A41" s="1" t="s">
        <v>42</v>
      </c>
      <c r="B41" s="4" t="n">
        <v>0.384325802326202</v>
      </c>
      <c r="C41" s="1" t="s">
        <v>25</v>
      </c>
      <c r="D41" s="4" t="n">
        <v>4.19</v>
      </c>
      <c r="E41" s="1" t="s">
        <v>3</v>
      </c>
    </row>
    <row r="42" customFormat="false" ht="12.8" hidden="false" customHeight="false" outlineLevel="0" collapsed="false">
      <c r="A42" s="1" t="s">
        <v>43</v>
      </c>
      <c r="B42" s="4"/>
      <c r="C42" s="1" t="s">
        <v>27</v>
      </c>
      <c r="D42" s="4" t="n">
        <v>0.93</v>
      </c>
      <c r="E42" s="1"/>
    </row>
    <row r="43" customFormat="false" ht="12.8" hidden="false" customHeight="false" outlineLevel="0" collapsed="false">
      <c r="A43" s="1" t="s">
        <v>44</v>
      </c>
      <c r="B43" s="4"/>
      <c r="C43" s="1" t="s">
        <v>23</v>
      </c>
      <c r="D43" s="4" t="n">
        <v>0.79</v>
      </c>
      <c r="E43" s="1"/>
    </row>
    <row r="44" customFormat="false" ht="12.8" hidden="false" customHeight="false" outlineLevel="0" collapsed="false">
      <c r="A44" s="1" t="s">
        <v>45</v>
      </c>
      <c r="B44" s="4"/>
      <c r="C44" s="1" t="s">
        <v>25</v>
      </c>
      <c r="D44" s="4" t="n">
        <v>1.92</v>
      </c>
      <c r="E44" s="1"/>
    </row>
    <row r="45" customFormat="false" ht="12.8" hidden="false" customHeight="false" outlineLevel="0" collapsed="false">
      <c r="A45" s="1" t="s">
        <v>46</v>
      </c>
      <c r="B45" s="4"/>
      <c r="C45" s="1" t="s">
        <v>27</v>
      </c>
      <c r="D45" s="4" t="n">
        <v>0.57</v>
      </c>
    </row>
    <row r="46" customFormat="false" ht="12.8" hidden="false" customHeight="true" outlineLevel="0" collapsed="false">
      <c r="A46" s="1" t="s">
        <v>47</v>
      </c>
      <c r="B46" s="4"/>
      <c r="C46" s="1" t="s">
        <v>23</v>
      </c>
      <c r="D46" s="4" t="n">
        <v>0.51</v>
      </c>
    </row>
    <row r="47" customFormat="false" ht="12.8" hidden="false" customHeight="false" outlineLevel="0" collapsed="false">
      <c r="A47" s="1" t="s">
        <v>48</v>
      </c>
      <c r="B47" s="4"/>
      <c r="C47" s="1" t="s">
        <v>41</v>
      </c>
      <c r="D47" s="4" t="n">
        <v>0.51</v>
      </c>
    </row>
    <row r="48" customFormat="false" ht="12.8" hidden="false" customHeight="true" outlineLevel="0" collapsed="false">
      <c r="A48" s="1" t="s">
        <v>49</v>
      </c>
      <c r="B48" s="4"/>
      <c r="C48" s="1" t="s">
        <v>50</v>
      </c>
      <c r="D48" s="4" t="n">
        <v>0.49</v>
      </c>
    </row>
    <row r="49" customFormat="false" ht="12.8" hidden="false" customHeight="true" outlineLevel="0" collapsed="false">
      <c r="A49" s="1" t="s">
        <v>51</v>
      </c>
      <c r="B49" s="4"/>
      <c r="C49" s="1" t="s">
        <v>52</v>
      </c>
      <c r="D49" s="4" t="n">
        <v>0.47</v>
      </c>
    </row>
    <row r="50" customFormat="false" ht="12.8" hidden="false" customHeight="true" outlineLevel="0" collapsed="false">
      <c r="A50" s="1" t="s">
        <v>53</v>
      </c>
      <c r="B50" s="4" t="n">
        <v>0.258466958999634</v>
      </c>
      <c r="C50" s="1" t="s">
        <v>25</v>
      </c>
      <c r="D50" s="4" t="n">
        <v>0.69</v>
      </c>
      <c r="E50" s="1" t="s">
        <v>3</v>
      </c>
    </row>
    <row r="51" customFormat="false" ht="12.8" hidden="false" customHeight="true" outlineLevel="0" collapsed="false">
      <c r="A51" s="1" t="s">
        <v>54</v>
      </c>
      <c r="B51" s="4" t="n">
        <v>0.284174799919128</v>
      </c>
      <c r="C51" s="1" t="s">
        <v>27</v>
      </c>
      <c r="D51" s="4" t="n">
        <v>0.69</v>
      </c>
      <c r="E51" s="1" t="s">
        <v>3</v>
      </c>
    </row>
    <row r="52" customFormat="false" ht="12.8" hidden="false" customHeight="true" outlineLevel="0" collapsed="false">
      <c r="A52" s="1" t="s">
        <v>55</v>
      </c>
      <c r="B52" s="4" t="n">
        <v>0.302828967571259</v>
      </c>
      <c r="C52" s="1" t="s">
        <v>23</v>
      </c>
      <c r="D52" s="4" t="n">
        <v>0.69</v>
      </c>
      <c r="E52" s="1" t="s">
        <v>3</v>
      </c>
    </row>
    <row r="53" customFormat="false" ht="12.8" hidden="false" customHeight="true" outlineLevel="0" collapsed="false">
      <c r="A53" s="1" t="s">
        <v>56</v>
      </c>
      <c r="B53" s="4"/>
      <c r="C53" s="1" t="s">
        <v>25</v>
      </c>
      <c r="D53" s="4" t="n">
        <v>2.33</v>
      </c>
      <c r="E53" s="1"/>
    </row>
    <row r="54" customFormat="false" ht="12.8" hidden="false" customHeight="true" outlineLevel="0" collapsed="false">
      <c r="A54" s="1" t="s">
        <v>57</v>
      </c>
      <c r="B54" s="4"/>
      <c r="C54" s="1" t="s">
        <v>27</v>
      </c>
      <c r="D54" s="4" t="n">
        <v>0.86</v>
      </c>
    </row>
    <row r="55" customFormat="false" ht="12.8" hidden="false" customHeight="true" outlineLevel="0" collapsed="false">
      <c r="A55" s="1" t="s">
        <v>58</v>
      </c>
      <c r="B55" s="4" t="n">
        <v>0.224313855171204</v>
      </c>
      <c r="C55" s="1" t="s">
        <v>25</v>
      </c>
      <c r="D55" s="4" t="n">
        <v>1.56</v>
      </c>
      <c r="E55" s="1" t="s">
        <v>3</v>
      </c>
    </row>
    <row r="56" customFormat="false" ht="12.8" hidden="false" customHeight="true" outlineLevel="0" collapsed="false">
      <c r="A56" s="1" t="s">
        <v>59</v>
      </c>
      <c r="B56" s="4"/>
      <c r="C56" s="1" t="s">
        <v>27</v>
      </c>
      <c r="D56" s="4" t="n">
        <v>0.58</v>
      </c>
    </row>
    <row r="57" customFormat="false" ht="12.8" hidden="false" customHeight="true" outlineLevel="0" collapsed="false">
      <c r="A57" s="1" t="s">
        <v>60</v>
      </c>
      <c r="B57" s="4" t="n">
        <v>0.266833126544952</v>
      </c>
      <c r="C57" s="1" t="s">
        <v>25</v>
      </c>
      <c r="D57" s="4" t="n">
        <v>3.8</v>
      </c>
      <c r="E57" s="1" t="s">
        <v>3</v>
      </c>
    </row>
    <row r="58" customFormat="false" ht="12.8" hidden="false" customHeight="true" outlineLevel="0" collapsed="false">
      <c r="A58" s="1" t="s">
        <v>61</v>
      </c>
      <c r="B58" s="4" t="n">
        <v>0.276750385761261</v>
      </c>
      <c r="C58" s="1" t="s">
        <v>27</v>
      </c>
      <c r="D58" s="4" t="n">
        <v>2.88</v>
      </c>
      <c r="E58" s="1" t="s">
        <v>3</v>
      </c>
    </row>
    <row r="59" customFormat="false" ht="12.8" hidden="false" customHeight="true" outlineLevel="0" collapsed="false">
      <c r="A59" s="1" t="s">
        <v>62</v>
      </c>
      <c r="B59" s="4" t="n">
        <v>0.34324324131012</v>
      </c>
      <c r="C59" s="1" t="s">
        <v>23</v>
      </c>
      <c r="D59" s="4" t="n">
        <v>2.79</v>
      </c>
      <c r="E59" s="1" t="s">
        <v>3</v>
      </c>
    </row>
    <row r="60" customFormat="false" ht="12.8" hidden="false" customHeight="true" outlineLevel="0" collapsed="false">
      <c r="A60" s="1" t="s">
        <v>63</v>
      </c>
      <c r="B60" s="4"/>
      <c r="C60" s="1" t="s">
        <v>41</v>
      </c>
      <c r="D60" s="4" t="n">
        <v>1.77</v>
      </c>
    </row>
    <row r="61" customFormat="false" ht="12.8" hidden="false" customHeight="true" outlineLevel="0" collapsed="false">
      <c r="A61" s="1" t="s">
        <v>64</v>
      </c>
      <c r="B61" s="4"/>
      <c r="C61" s="1" t="s">
        <v>50</v>
      </c>
      <c r="D61" s="4" t="n">
        <v>1.61</v>
      </c>
    </row>
    <row r="62" customFormat="false" ht="12.8" hidden="false" customHeight="true" outlineLevel="0" collapsed="false">
      <c r="A62" s="1" t="s">
        <v>65</v>
      </c>
      <c r="B62" s="4" t="n">
        <v>0.348534345626831</v>
      </c>
      <c r="C62" s="1" t="s">
        <v>25</v>
      </c>
      <c r="D62" s="4" t="n">
        <v>6.67</v>
      </c>
      <c r="E62" s="1" t="s">
        <v>3</v>
      </c>
    </row>
    <row r="63" customFormat="false" ht="12.8" hidden="false" customHeight="true" outlineLevel="0" collapsed="false">
      <c r="A63" s="1" t="s">
        <v>66</v>
      </c>
      <c r="B63" s="4"/>
      <c r="C63" s="1" t="s">
        <v>27</v>
      </c>
      <c r="D63" s="4" t="n">
        <v>1.04</v>
      </c>
    </row>
    <row r="64" customFormat="false" ht="12.8" hidden="false" customHeight="true" outlineLevel="0" collapsed="false">
      <c r="D64" s="4"/>
    </row>
    <row r="65" customFormat="false" ht="12.8" hidden="false" customHeight="true" outlineLevel="0" collapsed="false">
      <c r="D65" s="4"/>
    </row>
    <row r="66" customFormat="false" ht="12.8" hidden="false" customHeight="true" outlineLevel="0" collapsed="false">
      <c r="A66" s="1" t="s">
        <v>67</v>
      </c>
      <c r="D66" s="4"/>
    </row>
    <row r="67" customFormat="false" ht="12.8" hidden="false" customHeight="true" outlineLevel="0" collapsed="false">
      <c r="D67" s="4"/>
    </row>
    <row r="68" customFormat="false" ht="12.8" hidden="false" customHeight="true" outlineLevel="0" collapsed="false">
      <c r="A68" s="1" t="s">
        <v>65</v>
      </c>
      <c r="B68" s="4" t="n">
        <v>0.348534345626831</v>
      </c>
      <c r="C68" s="1" t="s">
        <v>25</v>
      </c>
      <c r="D68" s="4" t="n">
        <v>6.67</v>
      </c>
    </row>
    <row r="69" customFormat="false" ht="12.8" hidden="false" customHeight="false" outlineLevel="0" collapsed="false">
      <c r="A69" s="1" t="s">
        <v>42</v>
      </c>
      <c r="B69" s="4" t="n">
        <v>0.384325802326202</v>
      </c>
      <c r="C69" s="1" t="s">
        <v>25</v>
      </c>
      <c r="D69" s="4" t="n">
        <v>4.19</v>
      </c>
      <c r="E69" s="1"/>
    </row>
    <row r="70" customFormat="false" ht="12.8" hidden="false" customHeight="true" outlineLevel="0" collapsed="false">
      <c r="A70" s="1" t="s">
        <v>60</v>
      </c>
      <c r="B70" s="4" t="n">
        <v>0.266833126544952</v>
      </c>
      <c r="C70" s="1" t="s">
        <v>25</v>
      </c>
      <c r="D70" s="4" t="n">
        <v>3.8</v>
      </c>
    </row>
    <row r="71" customFormat="false" ht="12.8" hidden="false" customHeight="true" outlineLevel="0" collapsed="false">
      <c r="A71" s="1" t="s">
        <v>61</v>
      </c>
      <c r="B71" s="4" t="n">
        <v>0.276750385761261</v>
      </c>
      <c r="C71" s="1" t="s">
        <v>27</v>
      </c>
      <c r="D71" s="4" t="n">
        <v>2.88</v>
      </c>
    </row>
    <row r="72" customFormat="false" ht="12.8" hidden="false" customHeight="true" outlineLevel="0" collapsed="false">
      <c r="A72" s="1" t="s">
        <v>62</v>
      </c>
      <c r="B72" s="4" t="n">
        <v>0.34324324131012</v>
      </c>
      <c r="C72" s="1" t="s">
        <v>23</v>
      </c>
      <c r="D72" s="4" t="n">
        <v>2.79</v>
      </c>
    </row>
    <row r="73" customFormat="false" ht="12.8" hidden="false" customHeight="true" outlineLevel="0" collapsed="false">
      <c r="A73" s="1" t="s">
        <v>58</v>
      </c>
      <c r="B73" s="4" t="n">
        <v>0.224313855171204</v>
      </c>
      <c r="C73" s="1" t="s">
        <v>25</v>
      </c>
      <c r="D73" s="4" t="n">
        <v>1.56</v>
      </c>
    </row>
    <row r="74" customFormat="false" ht="12.8" hidden="false" customHeight="true" outlineLevel="0" collapsed="false">
      <c r="A74" s="1" t="s">
        <v>53</v>
      </c>
      <c r="B74" s="4" t="n">
        <v>0.258466958999634</v>
      </c>
      <c r="C74" s="1" t="s">
        <v>25</v>
      </c>
      <c r="D74" s="4" t="n">
        <v>0.69</v>
      </c>
    </row>
    <row r="75" customFormat="false" ht="12.8" hidden="false" customHeight="true" outlineLevel="0" collapsed="false">
      <c r="A75" s="1" t="s">
        <v>54</v>
      </c>
      <c r="B75" s="4" t="n">
        <v>0.284174799919128</v>
      </c>
      <c r="C75" s="1" t="s">
        <v>27</v>
      </c>
      <c r="D75" s="4" t="n">
        <v>0.69</v>
      </c>
    </row>
    <row r="76" customFormat="false" ht="12.8" hidden="false" customHeight="true" outlineLevel="0" collapsed="false">
      <c r="A76" s="1" t="s">
        <v>55</v>
      </c>
      <c r="B76" s="4" t="n">
        <v>0.302828967571259</v>
      </c>
      <c r="C76" s="1" t="s">
        <v>23</v>
      </c>
      <c r="D76" s="4" t="n">
        <v>0.69</v>
      </c>
    </row>
  </sheetData>
  <mergeCells count="1">
    <mergeCell ref="B18:G1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53515625" defaultRowHeight="12.8" customHeight="true" zeroHeight="false" outlineLevelRow="0" outlineLevelCol="0"/>
  <cols>
    <col collapsed="false" customWidth="true" hidden="false" outlineLevel="0" max="1" min="1" style="1" width="45.11"/>
    <col collapsed="false" customWidth="true" hidden="false" outlineLevel="0" max="2" min="2" style="1" width="37.41"/>
    <col collapsed="false" customWidth="true" hidden="false" outlineLevel="0" max="4" min="4" style="1" width="15.51"/>
    <col collapsed="false" customWidth="true" hidden="false" outlineLevel="0" max="5" min="5" style="1" width="12.9"/>
    <col collapsed="false" customWidth="true" hidden="false" outlineLevel="0" max="8" min="8" style="1" width="13.44"/>
  </cols>
  <sheetData>
    <row r="1" customFormat="false" ht="12.8" hidden="false" customHeight="false" outlineLevel="0" collapsed="false">
      <c r="A1" s="1" t="s">
        <v>68</v>
      </c>
      <c r="E1" s="1" t="s">
        <v>69</v>
      </c>
      <c r="F1" s="1" t="s">
        <v>69</v>
      </c>
      <c r="G1" s="1" t="s">
        <v>69</v>
      </c>
      <c r="H1" s="1" t="s">
        <v>69</v>
      </c>
      <c r="I1" s="1" t="s">
        <v>69</v>
      </c>
      <c r="J1" s="1" t="s">
        <v>69</v>
      </c>
    </row>
    <row r="2" customFormat="false" ht="12.8" hidden="false" customHeight="false" outlineLevel="0" collapsed="false">
      <c r="H2" s="1" t="s">
        <v>70</v>
      </c>
      <c r="I2" s="1" t="s">
        <v>71</v>
      </c>
      <c r="J2" s="1" t="s">
        <v>72</v>
      </c>
    </row>
    <row r="3" customFormat="false" ht="91.55" hidden="false" customHeight="true" outlineLevel="0" collapsed="false">
      <c r="A3" s="1" t="s">
        <v>73</v>
      </c>
      <c r="B3" s="1" t="s">
        <v>74</v>
      </c>
      <c r="C3" s="5" t="s">
        <v>75</v>
      </c>
      <c r="D3" s="5" t="s">
        <v>76</v>
      </c>
      <c r="E3" s="5" t="s">
        <v>76</v>
      </c>
      <c r="F3" s="5" t="s">
        <v>75</v>
      </c>
      <c r="G3" s="6" t="s">
        <v>77</v>
      </c>
      <c r="H3" s="6" t="s">
        <v>78</v>
      </c>
      <c r="I3" s="6" t="s">
        <v>78</v>
      </c>
      <c r="J3" s="6" t="s">
        <v>78</v>
      </c>
    </row>
    <row r="4" customFormat="false" ht="18.05" hidden="false" customHeight="true" outlineLevel="0" collapsed="false">
      <c r="A4" s="2" t="s">
        <v>79</v>
      </c>
      <c r="B4" s="2" t="s">
        <v>80</v>
      </c>
      <c r="C4" s="4" t="n">
        <v>0.43128</v>
      </c>
      <c r="D4" s="4" t="n">
        <v>0.46471</v>
      </c>
      <c r="E4" s="4" t="n">
        <v>0.40114</v>
      </c>
      <c r="F4" s="4" t="n">
        <v>0.3874652</v>
      </c>
      <c r="G4" s="4" t="n">
        <v>0.367897</v>
      </c>
      <c r="H4" s="4" t="n">
        <v>0.4186162</v>
      </c>
      <c r="I4" s="4" t="n">
        <v>0.44804</v>
      </c>
      <c r="J4" s="4" t="n">
        <v>0.50191</v>
      </c>
    </row>
    <row r="5" customFormat="false" ht="12.8" hidden="false" customHeight="false" outlineLevel="0" collapsed="false">
      <c r="A5" s="2" t="s">
        <v>81</v>
      </c>
      <c r="B5" s="2" t="s">
        <v>80</v>
      </c>
      <c r="C5" s="4" t="n">
        <v>0.44954</v>
      </c>
      <c r="D5" s="4" t="n">
        <v>0.46455</v>
      </c>
      <c r="E5" s="4" t="n">
        <v>0.398747</v>
      </c>
      <c r="F5" s="4" t="n">
        <v>0.353189</v>
      </c>
      <c r="G5" s="4" t="n">
        <v>0.3581985</v>
      </c>
      <c r="H5" s="4" t="n">
        <v>0.39481</v>
      </c>
      <c r="I5" s="4" t="n">
        <v>0.4290356</v>
      </c>
      <c r="J5" s="4" t="n">
        <v>0.50816</v>
      </c>
    </row>
    <row r="6" customFormat="false" ht="12.8" hidden="false" customHeight="false" outlineLevel="0" collapsed="false">
      <c r="A6" s="2" t="s">
        <v>82</v>
      </c>
      <c r="B6" s="2" t="s">
        <v>80</v>
      </c>
      <c r="C6" s="4" t="n">
        <v>0.47438</v>
      </c>
      <c r="D6" s="4" t="n">
        <v>0.4126</v>
      </c>
      <c r="E6" s="4" t="n">
        <v>0.477887</v>
      </c>
      <c r="F6" s="4" t="n">
        <v>0.47707</v>
      </c>
      <c r="G6" s="4" t="n">
        <v>0.417595</v>
      </c>
      <c r="H6" s="4" t="n">
        <v>0.438099</v>
      </c>
      <c r="I6" s="4" t="n">
        <v>0.4851</v>
      </c>
      <c r="J6" s="4" t="n">
        <v>0.4416596</v>
      </c>
    </row>
    <row r="7" customFormat="false" ht="14.45" hidden="false" customHeight="true" outlineLevel="0" collapsed="false">
      <c r="A7" s="2" t="s">
        <v>83</v>
      </c>
      <c r="B7" s="2" t="s">
        <v>84</v>
      </c>
      <c r="C7" s="4" t="n">
        <v>0.55302</v>
      </c>
      <c r="D7" s="4" t="n">
        <v>0.44178</v>
      </c>
      <c r="E7" s="4" t="n">
        <v>0.218956</v>
      </c>
      <c r="F7" s="4" t="n">
        <v>0.58119</v>
      </c>
      <c r="G7" s="4" t="n">
        <v>0.1643675</v>
      </c>
      <c r="H7" s="4" t="n">
        <v>0.288717</v>
      </c>
      <c r="I7" s="4" t="n">
        <v>0.259469</v>
      </c>
      <c r="J7" s="4" t="n">
        <v>0.379239</v>
      </c>
    </row>
    <row r="8" customFormat="false" ht="12.8" hidden="false" customHeight="false" outlineLevel="0" collapsed="false">
      <c r="A8" s="2" t="s">
        <v>85</v>
      </c>
      <c r="B8" s="2" t="s">
        <v>86</v>
      </c>
      <c r="C8" s="4" t="n">
        <v>0.50078</v>
      </c>
      <c r="D8" s="4" t="n">
        <v>0.51386</v>
      </c>
      <c r="E8" s="4" t="n">
        <v>0.338625</v>
      </c>
      <c r="F8" s="4" t="n">
        <v>0.367393</v>
      </c>
      <c r="G8" s="4" t="n">
        <v>0.284734</v>
      </c>
      <c r="H8" s="4" t="n">
        <v>0.31385</v>
      </c>
      <c r="I8" s="4" t="n">
        <v>0.35566</v>
      </c>
      <c r="J8" s="4" t="n">
        <v>0.43245</v>
      </c>
    </row>
    <row r="9" customFormat="false" ht="12.8" hidden="false" customHeight="false" outlineLevel="0" collapsed="false">
      <c r="A9" s="2" t="s">
        <v>87</v>
      </c>
      <c r="B9" s="2" t="s">
        <v>86</v>
      </c>
      <c r="C9" s="4" t="n">
        <v>0.52994</v>
      </c>
      <c r="D9" s="4" t="n">
        <v>0.54112</v>
      </c>
      <c r="E9" s="4" t="n">
        <v>0.444964</v>
      </c>
      <c r="F9" s="4" t="n">
        <v>0.31302</v>
      </c>
      <c r="G9" s="4" t="n">
        <v>0.3390864</v>
      </c>
      <c r="H9" s="4" t="n">
        <v>0.38387</v>
      </c>
      <c r="I9" s="4" t="n">
        <v>0.421171</v>
      </c>
      <c r="J9" s="4" t="n">
        <v>0.483517</v>
      </c>
    </row>
    <row r="10" customFormat="false" ht="12.8" hidden="false" customHeight="false" outlineLevel="0" collapsed="false">
      <c r="A10" s="2" t="s">
        <v>88</v>
      </c>
      <c r="B10" s="2" t="s">
        <v>86</v>
      </c>
      <c r="C10" s="4" t="n">
        <v>0.5807</v>
      </c>
      <c r="D10" s="4" t="n">
        <v>0.534728</v>
      </c>
      <c r="E10" s="4" t="n">
        <v>0.4144214</v>
      </c>
      <c r="F10" s="4" t="n">
        <v>0.32466</v>
      </c>
      <c r="G10" s="4" t="n">
        <v>0.33353424</v>
      </c>
      <c r="H10" s="4" t="n">
        <v>0.3970801</v>
      </c>
      <c r="I10" s="4" t="n">
        <v>0.427346</v>
      </c>
      <c r="J10" s="4" t="n">
        <v>0.500925</v>
      </c>
    </row>
    <row r="11" customFormat="false" ht="12.8" hidden="false" customHeight="false" outlineLevel="0" collapsed="false">
      <c r="A11" s="2" t="s">
        <v>89</v>
      </c>
      <c r="B11" s="2" t="s">
        <v>90</v>
      </c>
      <c r="C11" s="4" t="n">
        <v>0.71681</v>
      </c>
      <c r="D11" s="4" t="n">
        <v>0.58165</v>
      </c>
      <c r="E11" s="4" t="n">
        <v>0.175699</v>
      </c>
      <c r="F11" s="4" t="n">
        <v>0.3141902</v>
      </c>
      <c r="G11" s="4" t="n">
        <v>0.066691</v>
      </c>
      <c r="H11" s="4" t="n">
        <v>0.193597</v>
      </c>
      <c r="I11" s="4" t="n">
        <v>0.1772892</v>
      </c>
      <c r="J11" s="4" t="n">
        <v>0.29784</v>
      </c>
    </row>
    <row r="12" customFormat="false" ht="12.8" hidden="false" customHeight="false" outlineLevel="0" collapsed="false">
      <c r="A12" s="2" t="s">
        <v>91</v>
      </c>
      <c r="B12" s="2" t="s">
        <v>90</v>
      </c>
      <c r="C12" s="4" t="n">
        <v>0.69217</v>
      </c>
      <c r="D12" s="4" t="n">
        <v>0.577147</v>
      </c>
      <c r="E12" s="4" t="n">
        <v>0.360313</v>
      </c>
      <c r="F12" s="4" t="n">
        <v>0.4296628</v>
      </c>
      <c r="G12" s="4" t="n">
        <v>0.316418</v>
      </c>
      <c r="H12" s="4" t="n">
        <v>0.38647</v>
      </c>
      <c r="I12" s="4" t="n">
        <v>0.422709</v>
      </c>
      <c r="J12" s="4" t="n">
        <v>0.4676005</v>
      </c>
    </row>
    <row r="13" customFormat="false" ht="12.8" hidden="false" customHeight="false" outlineLevel="0" collapsed="false">
      <c r="H13" s="4"/>
      <c r="I13" s="4"/>
    </row>
    <row r="14" customFormat="false" ht="12.8" hidden="false" customHeight="false" outlineLevel="0" collapsed="false">
      <c r="C14" s="7" t="n">
        <f aca="false">AVERAGE(C4:C12)</f>
        <v>0.547624444444444</v>
      </c>
      <c r="D14" s="7" t="n">
        <f aca="false">AVERAGE(D4:D12)</f>
        <v>0.503571666666667</v>
      </c>
      <c r="E14" s="7" t="n">
        <f aca="false">AVERAGE(E4:E12)</f>
        <v>0.358972488888889</v>
      </c>
      <c r="F14" s="7" t="n">
        <f aca="false">AVERAGE(F4:F12)</f>
        <v>0.394204466666667</v>
      </c>
      <c r="G14" s="7" t="n">
        <f aca="false">AVERAGE(G4:G12)</f>
        <v>0.294280182222222</v>
      </c>
      <c r="H14" s="7" t="n">
        <f aca="false">AVERAGE(H4:H12)</f>
        <v>0.357234366666667</v>
      </c>
      <c r="I14" s="7" t="n">
        <f aca="false">AVERAGE(I4:I12)</f>
        <v>0.380646644444444</v>
      </c>
      <c r="J14" s="7" t="n">
        <f aca="false">AVERAGE(J4:J12)</f>
        <v>0.445922344444444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true" zeroHeight="false" outlineLevelRow="0" outlineLevelCol="0"/>
  <cols>
    <col collapsed="false" customWidth="true" hidden="false" outlineLevel="0" max="1" min="1" style="1" width="41.63"/>
    <col collapsed="false" customWidth="true" hidden="false" outlineLevel="0" max="2" min="2" style="1" width="43.91"/>
    <col collapsed="false" customWidth="true" hidden="false" outlineLevel="0" max="3" min="3" style="1" width="9.11"/>
    <col collapsed="false" customWidth="true" hidden="false" outlineLevel="0" max="4" min="4" style="1" width="4.12"/>
    <col collapsed="false" customWidth="true" hidden="false" outlineLevel="0" max="6" min="6" style="1" width="3.36"/>
  </cols>
  <sheetData>
    <row r="1" customFormat="false" ht="12.8" hidden="false" customHeight="false" outlineLevel="0" collapsed="false">
      <c r="A1" s="1" t="s">
        <v>92</v>
      </c>
      <c r="B1" s="1" t="s">
        <v>78</v>
      </c>
    </row>
    <row r="2" customFormat="false" ht="12.8" hidden="false" customHeight="false" outlineLevel="0" collapsed="false">
      <c r="A2" s="1" t="s">
        <v>70</v>
      </c>
      <c r="B2" s="1" t="s">
        <v>93</v>
      </c>
    </row>
    <row r="5" customFormat="false" ht="12.8" hidden="false" customHeight="false" outlineLevel="0" collapsed="false">
      <c r="A5" s="8" t="s">
        <v>73</v>
      </c>
      <c r="B5" s="8" t="s">
        <v>74</v>
      </c>
      <c r="C5" s="8" t="s">
        <v>94</v>
      </c>
      <c r="D5" s="8"/>
      <c r="E5" s="8" t="s">
        <v>70</v>
      </c>
      <c r="F5" s="8"/>
    </row>
    <row r="6" customFormat="false" ht="12.8" hidden="false" customHeight="false" outlineLevel="0" collapsed="false">
      <c r="A6" s="2" t="s">
        <v>79</v>
      </c>
      <c r="B6" s="2" t="s">
        <v>80</v>
      </c>
      <c r="C6" s="4" t="n">
        <v>0.4045</v>
      </c>
      <c r="D6" s="4" t="n">
        <v>2</v>
      </c>
      <c r="E6" s="4" t="n">
        <v>0.2986</v>
      </c>
      <c r="F6" s="4" t="n">
        <v>7</v>
      </c>
    </row>
    <row r="7" customFormat="false" ht="12.8" hidden="false" customHeight="false" outlineLevel="0" collapsed="false">
      <c r="A7" s="2" t="s">
        <v>81</v>
      </c>
      <c r="B7" s="2" t="s">
        <v>80</v>
      </c>
      <c r="C7" s="4" t="n">
        <v>0.3822</v>
      </c>
      <c r="D7" s="4" t="n">
        <v>1</v>
      </c>
      <c r="E7" s="4" t="n">
        <v>0.3077</v>
      </c>
      <c r="F7" s="4" t="n">
        <v>8</v>
      </c>
    </row>
    <row r="8" customFormat="false" ht="21.05" hidden="false" customHeight="true" outlineLevel="0" collapsed="false">
      <c r="A8" s="2" t="s">
        <v>82</v>
      </c>
      <c r="B8" s="2" t="s">
        <v>80</v>
      </c>
      <c r="C8" s="4" t="n">
        <v>0.4295</v>
      </c>
      <c r="D8" s="4" t="n">
        <v>3</v>
      </c>
      <c r="E8" s="4" t="n">
        <v>0.209</v>
      </c>
      <c r="F8" s="4" t="n">
        <v>2</v>
      </c>
    </row>
    <row r="9" customFormat="false" ht="19.85" hidden="false" customHeight="true" outlineLevel="0" collapsed="false">
      <c r="A9" s="2" t="s">
        <v>83</v>
      </c>
      <c r="B9" s="2" t="s">
        <v>84</v>
      </c>
      <c r="C9" s="4" t="n">
        <v>0.5241</v>
      </c>
      <c r="D9" s="4" t="n">
        <v>7</v>
      </c>
      <c r="E9" s="4" t="n">
        <v>0.2019</v>
      </c>
      <c r="F9" s="4" t="n">
        <v>1</v>
      </c>
    </row>
    <row r="10" customFormat="false" ht="22.25" hidden="false" customHeight="true" outlineLevel="0" collapsed="false">
      <c r="A10" s="2" t="s">
        <v>85</v>
      </c>
      <c r="B10" s="2" t="s">
        <v>86</v>
      </c>
      <c r="C10" s="4" t="n">
        <v>0.5335</v>
      </c>
      <c r="D10" s="4" t="n">
        <v>8</v>
      </c>
      <c r="E10" s="4" t="n">
        <v>0.2342</v>
      </c>
      <c r="F10" s="4" t="n">
        <v>3</v>
      </c>
    </row>
    <row r="11" customFormat="false" ht="21.05" hidden="false" customHeight="true" outlineLevel="0" collapsed="false">
      <c r="A11" s="2" t="s">
        <v>87</v>
      </c>
      <c r="B11" s="2" t="s">
        <v>86</v>
      </c>
      <c r="C11" s="4" t="n">
        <v>0.5007</v>
      </c>
      <c r="D11" s="4" t="n">
        <v>5</v>
      </c>
      <c r="E11" s="4" t="n">
        <v>0.2629</v>
      </c>
      <c r="F11" s="4" t="n">
        <v>5</v>
      </c>
    </row>
    <row r="12" customFormat="false" ht="12.8" hidden="false" customHeight="false" outlineLevel="0" collapsed="false">
      <c r="A12" s="2" t="s">
        <v>88</v>
      </c>
      <c r="B12" s="2" t="s">
        <v>86</v>
      </c>
      <c r="C12" s="4" t="n">
        <v>0.4741</v>
      </c>
      <c r="D12" s="4" t="n">
        <v>4</v>
      </c>
      <c r="E12" s="4" t="n">
        <v>0.2801</v>
      </c>
      <c r="F12" s="4" t="n">
        <v>6</v>
      </c>
    </row>
    <row r="13" customFormat="false" ht="12.8" hidden="false" customHeight="false" outlineLevel="0" collapsed="false">
      <c r="A13" s="2" t="s">
        <v>89</v>
      </c>
      <c r="B13" s="2" t="s">
        <v>95</v>
      </c>
      <c r="C13" s="4" t="n">
        <v>0.6761</v>
      </c>
      <c r="D13" s="4" t="n">
        <v>9</v>
      </c>
      <c r="E13" s="4" t="n">
        <v>0.4362</v>
      </c>
      <c r="F13" s="4" t="n">
        <v>9</v>
      </c>
    </row>
    <row r="14" customFormat="false" ht="12.8" hidden="false" customHeight="false" outlineLevel="0" collapsed="false">
      <c r="A14" s="2" t="s">
        <v>91</v>
      </c>
      <c r="B14" s="2" t="s">
        <v>90</v>
      </c>
      <c r="C14" s="4" t="n">
        <v>0.5195</v>
      </c>
      <c r="D14" s="4" t="n">
        <v>6</v>
      </c>
      <c r="E14" s="4" t="n">
        <v>0.2421</v>
      </c>
      <c r="F14" s="4" t="n">
        <v>4</v>
      </c>
    </row>
    <row r="16" customFormat="false" ht="12.8" hidden="false" customHeight="false" outlineLevel="0" collapsed="false">
      <c r="B16" s="1" t="s">
        <v>96</v>
      </c>
      <c r="C16" s="4" t="n">
        <v>0.3127</v>
      </c>
      <c r="D16" s="4"/>
      <c r="E16" s="4" t="n">
        <v>0.4157</v>
      </c>
    </row>
    <row r="17" customFormat="false" ht="12.8" hidden="false" customHeight="false" outlineLevel="0" collapsed="false">
      <c r="B17" s="1" t="s">
        <v>97</v>
      </c>
      <c r="C17" s="4" t="n">
        <v>0.0025</v>
      </c>
      <c r="D17" s="4"/>
      <c r="E17" s="4" t="n">
        <v>0.0051</v>
      </c>
    </row>
    <row r="18" customFormat="false" ht="12.8" hidden="false" customHeight="false" outlineLevel="0" collapsed="false">
      <c r="B18" s="1" t="s">
        <v>98</v>
      </c>
      <c r="C18" s="4" t="n">
        <v>0.0508</v>
      </c>
      <c r="D18" s="4"/>
      <c r="E18" s="4" t="n">
        <v>0.0716</v>
      </c>
    </row>
    <row r="19" customFormat="false" ht="12.8" hidden="false" customHeight="false" outlineLevel="0" collapsed="false">
      <c r="B19" s="1" t="s">
        <v>99</v>
      </c>
      <c r="C19" s="4" t="n">
        <v>0.5826</v>
      </c>
      <c r="D19" s="4"/>
      <c r="E19" s="4" t="n">
        <v>0.3586</v>
      </c>
    </row>
    <row r="20" customFormat="false" ht="12.8" hidden="false" customHeight="false" outlineLevel="0" collapsed="false">
      <c r="B20" s="1" t="s">
        <v>100</v>
      </c>
      <c r="C20" s="4" t="n">
        <v>0.6089</v>
      </c>
      <c r="D20" s="4"/>
      <c r="E20" s="4" t="n">
        <v>0.3938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5" activeCellId="0" sqref="O5"/>
    </sheetView>
  </sheetViews>
  <sheetFormatPr defaultColWidth="11.53515625" defaultRowHeight="12.8" customHeight="true" zeroHeight="false" outlineLevelRow="0" outlineLevelCol="0"/>
  <cols>
    <col collapsed="false" customWidth="true" hidden="false" outlineLevel="0" max="1" min="1" style="1" width="17.34"/>
    <col collapsed="false" customWidth="true" hidden="false" outlineLevel="0" max="2" min="2" style="1" width="71.56"/>
    <col collapsed="false" customWidth="true" hidden="false" outlineLevel="0" max="3" min="3" style="1" width="8.76"/>
    <col collapsed="false" customWidth="true" hidden="false" outlineLevel="0" max="4" min="4" style="1" width="7.37"/>
    <col collapsed="false" customWidth="true" hidden="false" outlineLevel="0" max="7" min="5" style="1" width="9.33"/>
    <col collapsed="false" customWidth="true" hidden="false" outlineLevel="0" max="9" min="8" style="1" width="8.02"/>
    <col collapsed="false" customWidth="true" hidden="false" outlineLevel="0" max="10" min="10" style="1" width="11.92"/>
    <col collapsed="false" customWidth="true" hidden="false" outlineLevel="0" max="11" min="11" style="1" width="12.57"/>
    <col collapsed="false" customWidth="true" hidden="false" outlineLevel="0" max="12" min="12" style="1" width="13.12"/>
    <col collapsed="false" customWidth="true" hidden="false" outlineLevel="0" max="13" min="13" style="1" width="8.88"/>
    <col collapsed="false" customWidth="true" hidden="false" outlineLevel="0" max="14" min="14" style="1" width="33.4"/>
    <col collapsed="false" customWidth="true" hidden="false" outlineLevel="0" max="15" min="15" style="1" width="14.09"/>
  </cols>
  <sheetData>
    <row r="1" customFormat="false" ht="12.8" hidden="false" customHeight="false" outlineLevel="0" collapsed="false">
      <c r="A1" s="9" t="s">
        <v>101</v>
      </c>
      <c r="B1" s="10" t="n">
        <v>0.5</v>
      </c>
    </row>
    <row r="2" customFormat="false" ht="12.8" hidden="false" customHeight="false" outlineLevel="0" collapsed="false">
      <c r="A2" s="11"/>
    </row>
    <row r="3" s="13" customFormat="true" ht="21.05" hidden="false" customHeight="true" outlineLevel="0" collapsed="false">
      <c r="A3" s="12" t="s">
        <v>102</v>
      </c>
      <c r="B3" s="12" t="s">
        <v>78</v>
      </c>
      <c r="C3" s="12" t="s">
        <v>103</v>
      </c>
      <c r="D3" s="12" t="s">
        <v>104</v>
      </c>
      <c r="E3" s="12" t="s">
        <v>105</v>
      </c>
      <c r="F3" s="12" t="s">
        <v>106</v>
      </c>
      <c r="G3" s="12" t="s">
        <v>107</v>
      </c>
      <c r="H3" s="12" t="s">
        <v>108</v>
      </c>
      <c r="I3" s="12" t="s">
        <v>96</v>
      </c>
      <c r="J3" s="12" t="s">
        <v>109</v>
      </c>
      <c r="K3" s="12" t="s">
        <v>110</v>
      </c>
      <c r="L3" s="12" t="s">
        <v>111</v>
      </c>
      <c r="M3" s="12" t="s">
        <v>112</v>
      </c>
      <c r="N3" s="12" t="s">
        <v>113</v>
      </c>
      <c r="O3" s="12" t="s">
        <v>103</v>
      </c>
      <c r="P3" s="12" t="s">
        <v>104</v>
      </c>
      <c r="XFC3" s="1"/>
      <c r="XFD3" s="1"/>
    </row>
    <row r="4" customFormat="false" ht="19.25" hidden="false" customHeight="true" outlineLevel="0" collapsed="false">
      <c r="A4" s="13" t="s">
        <v>94</v>
      </c>
      <c r="B4" s="13" t="s">
        <v>78</v>
      </c>
      <c r="C4" s="14" t="s">
        <v>114</v>
      </c>
      <c r="D4" s="14" t="n">
        <v>5</v>
      </c>
      <c r="E4" s="14" t="n">
        <v>0.4045</v>
      </c>
      <c r="F4" s="14" t="n">
        <v>0.4295</v>
      </c>
      <c r="G4" s="15" t="n">
        <v>0.47</v>
      </c>
      <c r="H4" s="14" t="n">
        <v>0.4365</v>
      </c>
      <c r="I4" s="14" t="n">
        <v>0.1137</v>
      </c>
      <c r="J4" s="14"/>
      <c r="K4" s="14"/>
      <c r="L4" s="16"/>
      <c r="M4" s="16"/>
      <c r="N4" s="17" t="s">
        <v>115</v>
      </c>
      <c r="O4" s="14" t="s">
        <v>114</v>
      </c>
      <c r="P4" s="14" t="n">
        <v>9</v>
      </c>
    </row>
    <row r="5" customFormat="false" ht="69.85" hidden="false" customHeight="false" outlineLevel="0" collapsed="false">
      <c r="A5" s="18" t="s">
        <v>70</v>
      </c>
      <c r="B5" s="2" t="s">
        <v>93</v>
      </c>
      <c r="C5" s="19" t="s">
        <v>116</v>
      </c>
      <c r="D5" s="20" t="n">
        <v>148</v>
      </c>
      <c r="E5" s="21" t="n">
        <v>0.3462</v>
      </c>
      <c r="F5" s="21" t="n">
        <v>0.3903</v>
      </c>
      <c r="G5" s="21" t="n">
        <v>0.416</v>
      </c>
      <c r="H5" s="21" t="n">
        <v>0.3796</v>
      </c>
      <c r="I5" s="21" t="n">
        <v>0.279</v>
      </c>
      <c r="J5" s="13" t="n">
        <v>0.2789</v>
      </c>
      <c r="K5" s="21" t="n">
        <v>0.2257</v>
      </c>
      <c r="L5" s="21" t="n">
        <v>0.4348</v>
      </c>
      <c r="M5" s="20" t="n">
        <f aca="false">12*1+1*3</f>
        <v>15</v>
      </c>
      <c r="N5" s="22" t="s">
        <v>117</v>
      </c>
    </row>
    <row r="6" customFormat="false" ht="12.8" hidden="false" customHeight="false" outlineLevel="0" collapsed="false">
      <c r="A6" s="13"/>
      <c r="J6" s="13"/>
      <c r="K6" s="13"/>
      <c r="M6" s="20"/>
      <c r="N6" s="11"/>
    </row>
    <row r="7" customFormat="false" ht="58.4" hidden="false" customHeight="false" outlineLevel="0" collapsed="false">
      <c r="A7" s="13" t="s">
        <v>118</v>
      </c>
      <c r="B7" s="11" t="s">
        <v>119</v>
      </c>
      <c r="C7" s="19" t="s">
        <v>116</v>
      </c>
      <c r="D7" s="13" t="n">
        <v>145</v>
      </c>
      <c r="E7" s="13" t="n">
        <v>0.3815</v>
      </c>
      <c r="F7" s="13" t="n">
        <v>0.4229</v>
      </c>
      <c r="G7" s="13" t="n">
        <v>0.4497</v>
      </c>
      <c r="H7" s="13" t="n">
        <v>0.4141</v>
      </c>
      <c r="I7" s="13" t="n">
        <v>0.2233</v>
      </c>
      <c r="J7" s="21" t="n">
        <v>0.341</v>
      </c>
      <c r="K7" s="13" t="n">
        <v>0.1514</v>
      </c>
      <c r="L7" s="13" t="n">
        <v>0.4271</v>
      </c>
      <c r="M7" s="20" t="n">
        <f aca="false">11*1+1*2+1*3</f>
        <v>16</v>
      </c>
      <c r="N7" s="22" t="s">
        <v>120</v>
      </c>
    </row>
    <row r="8" customFormat="false" ht="12.8" hidden="false" customHeight="false" outlineLevel="0" collapsed="false">
      <c r="J8" s="13"/>
      <c r="K8" s="13"/>
      <c r="M8" s="20"/>
      <c r="N8" s="11"/>
    </row>
    <row r="9" customFormat="false" ht="12.8" hidden="false" customHeight="false" outlineLevel="0" collapsed="false">
      <c r="A9" s="23" t="s">
        <v>121</v>
      </c>
      <c r="B9" s="23" t="s">
        <v>122</v>
      </c>
      <c r="C9" s="14" t="s">
        <v>114</v>
      </c>
      <c r="D9" s="14" t="n">
        <v>5</v>
      </c>
      <c r="E9" s="24" t="n">
        <v>0.3824</v>
      </c>
      <c r="F9" s="24" t="n">
        <v>0.4232</v>
      </c>
      <c r="G9" s="24" t="n">
        <v>0.4678</v>
      </c>
      <c r="H9" s="24" t="n">
        <v>0.4248</v>
      </c>
      <c r="I9" s="24" t="n">
        <v>0.1451</v>
      </c>
      <c r="J9" s="14"/>
      <c r="K9" s="14"/>
      <c r="L9" s="16"/>
      <c r="M9" s="25"/>
      <c r="N9" s="17" t="s">
        <v>123</v>
      </c>
    </row>
    <row r="10" customFormat="false" ht="12.8" hidden="false" customHeight="false" outlineLevel="0" collapsed="false">
      <c r="J10" s="13"/>
      <c r="K10" s="13"/>
      <c r="M10" s="20"/>
      <c r="N10" s="11"/>
    </row>
    <row r="11" customFormat="false" ht="138.55" hidden="false" customHeight="false" outlineLevel="0" collapsed="false">
      <c r="A11" s="13" t="s">
        <v>124</v>
      </c>
      <c r="B11" s="2" t="s">
        <v>125</v>
      </c>
      <c r="C11" s="19" t="s">
        <v>116</v>
      </c>
      <c r="D11" s="13" t="n">
        <v>144</v>
      </c>
      <c r="E11" s="13" t="n">
        <v>0.3866</v>
      </c>
      <c r="F11" s="13" t="n">
        <v>0.4146</v>
      </c>
      <c r="G11" s="13" t="n">
        <v>0.4414</v>
      </c>
      <c r="H11" s="13" t="n">
        <v>0.4138</v>
      </c>
      <c r="I11" s="13" t="n">
        <v>0.1979</v>
      </c>
      <c r="J11" s="13" t="n">
        <v>0.3714</v>
      </c>
      <c r="K11" s="13" t="n">
        <v>0.1695</v>
      </c>
      <c r="L11" s="13" t="n">
        <v>0.4707</v>
      </c>
      <c r="M11" s="20" t="n">
        <f aca="false">9*1+2*2+2*3</f>
        <v>19</v>
      </c>
      <c r="N11" s="22" t="s">
        <v>126</v>
      </c>
    </row>
    <row r="12" customFormat="false" ht="12.8" hidden="false" customHeight="false" outlineLevel="0" collapsed="false">
      <c r="A12" s="23" t="s">
        <v>127</v>
      </c>
      <c r="B12" s="2" t="s">
        <v>128</v>
      </c>
      <c r="C12" s="14" t="s">
        <v>114</v>
      </c>
      <c r="D12" s="14" t="n">
        <v>108</v>
      </c>
      <c r="E12" s="14" t="n">
        <v>0.4407</v>
      </c>
      <c r="F12" s="14" t="n">
        <v>0.4582</v>
      </c>
      <c r="G12" s="14" t="n">
        <v>0.4801</v>
      </c>
      <c r="H12" s="14" t="n">
        <v>0.4568</v>
      </c>
      <c r="I12" s="14" t="n">
        <v>0.1244</v>
      </c>
      <c r="J12" s="14" t="n">
        <v>0.4243</v>
      </c>
      <c r="K12" s="14" t="n">
        <v>0.0847</v>
      </c>
      <c r="L12" s="16"/>
      <c r="M12" s="25"/>
      <c r="N12" s="17" t="s">
        <v>129</v>
      </c>
    </row>
    <row r="13" customFormat="false" ht="12.8" hidden="false" customHeight="false" outlineLevel="0" collapsed="false">
      <c r="J13" s="13"/>
      <c r="K13" s="13"/>
      <c r="M13" s="20"/>
      <c r="N13" s="11"/>
    </row>
    <row r="14" customFormat="false" ht="46.95" hidden="false" customHeight="false" outlineLevel="0" collapsed="false">
      <c r="A14" s="26" t="s">
        <v>130</v>
      </c>
      <c r="B14" s="11" t="s">
        <v>131</v>
      </c>
      <c r="C14" s="19" t="s">
        <v>116</v>
      </c>
      <c r="D14" s="13" t="n">
        <v>142</v>
      </c>
      <c r="E14" s="21" t="n">
        <v>0.364</v>
      </c>
      <c r="F14" s="21" t="n">
        <v>0.4062</v>
      </c>
      <c r="G14" s="21" t="n">
        <v>0.4336</v>
      </c>
      <c r="H14" s="21" t="n">
        <v>0.3971</v>
      </c>
      <c r="I14" s="21" t="n">
        <v>0.2807</v>
      </c>
      <c r="J14" s="13" t="n">
        <v>0.2996</v>
      </c>
      <c r="K14" s="13" t="n">
        <v>0.2342</v>
      </c>
      <c r="L14" s="13" t="n">
        <v>0.4472</v>
      </c>
      <c r="M14" s="20" t="n">
        <f aca="false">12*1+1*3</f>
        <v>15</v>
      </c>
      <c r="N14" s="22" t="s">
        <v>117</v>
      </c>
    </row>
    <row r="15" customFormat="false" ht="12.8" hidden="false" customHeight="false" outlineLevel="0" collapsed="false">
      <c r="A15" s="11"/>
      <c r="M15" s="20"/>
      <c r="N15" s="11"/>
    </row>
    <row r="16" customFormat="false" ht="46.95" hidden="false" customHeight="false" outlineLevel="0" collapsed="false">
      <c r="A16" s="27" t="s">
        <v>132</v>
      </c>
      <c r="B16" s="11" t="s">
        <v>133</v>
      </c>
      <c r="C16" s="19" t="s">
        <v>116</v>
      </c>
      <c r="D16" s="13" t="n">
        <v>144</v>
      </c>
      <c r="E16" s="21" t="n">
        <v>0.3604</v>
      </c>
      <c r="F16" s="21" t="n">
        <v>0.3927</v>
      </c>
      <c r="G16" s="21" t="n">
        <v>0.422</v>
      </c>
      <c r="H16" s="21" t="n">
        <v>0.3919</v>
      </c>
      <c r="I16" s="21" t="n">
        <v>0.2555</v>
      </c>
      <c r="J16" s="21" t="n">
        <v>0.326</v>
      </c>
      <c r="K16" s="21" t="n">
        <v>0.1845</v>
      </c>
      <c r="L16" s="13" t="n">
        <v>0.4263</v>
      </c>
      <c r="M16" s="20" t="n">
        <f aca="false">11*1+1*2+1*3</f>
        <v>16</v>
      </c>
      <c r="N16" s="22" t="s">
        <v>134</v>
      </c>
    </row>
    <row r="17" customFormat="false" ht="12.8" hidden="false" customHeight="false" outlineLevel="0" collapsed="false">
      <c r="A17" s="11"/>
      <c r="M17" s="20"/>
    </row>
    <row r="18" customFormat="false" ht="104.2" hidden="false" customHeight="false" outlineLevel="0" collapsed="false">
      <c r="A18" s="27" t="s">
        <v>135</v>
      </c>
      <c r="B18" s="2" t="s">
        <v>136</v>
      </c>
      <c r="C18" s="19" t="s">
        <v>116</v>
      </c>
      <c r="D18" s="13" t="n">
        <v>147</v>
      </c>
      <c r="E18" s="21" t="n">
        <v>0.3784</v>
      </c>
      <c r="F18" s="21" t="n">
        <v>0.406</v>
      </c>
      <c r="G18" s="21" t="n">
        <v>0.4326</v>
      </c>
      <c r="H18" s="21" t="n">
        <v>0.4064</v>
      </c>
      <c r="I18" s="21" t="n">
        <v>0.2178</v>
      </c>
      <c r="J18" s="21" t="n">
        <v>0.3633</v>
      </c>
      <c r="K18" s="21" t="n">
        <v>0.181</v>
      </c>
      <c r="L18" s="13" t="n">
        <v>0.4537</v>
      </c>
      <c r="M18" s="20" t="n">
        <f aca="false">10*1+1*2+2*3</f>
        <v>18</v>
      </c>
      <c r="N18" s="22" t="s">
        <v>137</v>
      </c>
    </row>
    <row r="19" customFormat="false" ht="12.8" hidden="false" customHeight="false" outlineLevel="0" collapsed="false">
      <c r="A19" s="11"/>
    </row>
    <row r="20" customFormat="false" ht="12.8" hidden="false" customHeight="false" outlineLevel="0" collapsed="false">
      <c r="A20" s="11"/>
    </row>
    <row r="21" customFormat="false" ht="12.8" hidden="false" customHeight="false" outlineLevel="0" collapsed="false">
      <c r="A21" s="11"/>
    </row>
    <row r="22" customFormat="false" ht="12.8" hidden="false" customHeight="false" outlineLevel="0" collapsed="false">
      <c r="A22" s="11"/>
    </row>
    <row r="23" customFormat="false" ht="12.8" hidden="false" customHeight="false" outlineLevel="0" collapsed="false">
      <c r="A23" s="11"/>
    </row>
    <row r="24" customFormat="false" ht="12.8" hidden="false" customHeight="false" outlineLevel="0" collapsed="false">
      <c r="A24" s="11"/>
    </row>
    <row r="25" customFormat="false" ht="12.8" hidden="false" customHeight="false" outlineLevel="0" collapsed="false">
      <c r="A25" s="1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11.53515625" defaultRowHeight="12.8" customHeight="true" zeroHeight="false" outlineLevelRow="0" outlineLevelCol="0"/>
  <cols>
    <col collapsed="false" customWidth="true" hidden="false" outlineLevel="0" max="1" min="1" style="1" width="2.81"/>
    <col collapsed="false" customWidth="true" hidden="false" outlineLevel="0" max="2" min="2" style="4" width="8.45"/>
    <col collapsed="false" customWidth="true" hidden="false" outlineLevel="0" max="3" min="3" style="28" width="54.65"/>
    <col collapsed="false" customWidth="true" hidden="true" outlineLevel="0" max="4" min="4" style="1" width="18.11"/>
    <col collapsed="false" customWidth="false" hidden="true" outlineLevel="0" max="12" min="5" style="1" width="11.53"/>
    <col collapsed="false" customWidth="true" hidden="false" outlineLevel="0" max="13" min="13" style="1" width="1.3"/>
    <col collapsed="false" customWidth="true" hidden="false" outlineLevel="0" max="14" min="14" style="1" width="3.58"/>
    <col collapsed="false" customWidth="true" hidden="false" outlineLevel="0" max="15" min="15" style="4" width="8.88"/>
    <col collapsed="false" customWidth="true" hidden="false" outlineLevel="0" max="16" min="16" style="1" width="54.11"/>
    <col collapsed="false" customWidth="false" hidden="true" outlineLevel="0" max="24" min="17" style="1" width="11.53"/>
    <col collapsed="false" customWidth="true" hidden="true" outlineLevel="0" max="25" min="25" style="1" width="11.92"/>
    <col collapsed="false" customWidth="true" hidden="false" outlineLevel="0" max="26" min="26" style="1" width="1.51"/>
    <col collapsed="false" customWidth="true" hidden="false" outlineLevel="0" max="27" min="27" style="1" width="3.25"/>
    <col collapsed="false" customWidth="true" hidden="false" outlineLevel="0" max="28" min="28" style="4" width="7.57"/>
    <col collapsed="false" customWidth="true" hidden="false" outlineLevel="0" max="29" min="29" style="1" width="53.89"/>
    <col collapsed="false" customWidth="false" hidden="true" outlineLevel="0" max="36" min="30" style="1" width="11.53"/>
    <col collapsed="false" customWidth="true" hidden="true" outlineLevel="0" max="37" min="37" style="1" width="13.75"/>
    <col collapsed="false" customWidth="false" hidden="true" outlineLevel="0" max="38" min="38" style="1" width="11.53"/>
    <col collapsed="false" customWidth="true" hidden="false" outlineLevel="0" max="39" min="39" style="1" width="1.39"/>
    <col collapsed="false" customWidth="true" hidden="false" outlineLevel="0" max="40" min="40" style="1" width="2.58"/>
    <col collapsed="false" customWidth="true" hidden="false" outlineLevel="0" max="41" min="41" style="4" width="7.48"/>
    <col collapsed="false" customWidth="true" hidden="false" outlineLevel="0" max="42" min="42" style="1" width="54.97"/>
    <col collapsed="false" customWidth="false" hidden="true" outlineLevel="0" max="50" min="43" style="1" width="11.53"/>
    <col collapsed="false" customWidth="true" hidden="false" outlineLevel="0" max="51" min="51" style="1" width="11.7"/>
  </cols>
  <sheetData>
    <row r="1" customFormat="false" ht="12.8" hidden="false" customHeight="true" outlineLevel="0" collapsed="false">
      <c r="C1" s="29" t="s">
        <v>138</v>
      </c>
      <c r="D1" s="29"/>
      <c r="E1" s="29"/>
      <c r="F1" s="29"/>
      <c r="G1" s="29"/>
      <c r="H1" s="29"/>
      <c r="I1" s="29"/>
      <c r="J1" s="29"/>
      <c r="K1" s="29"/>
      <c r="L1" s="29"/>
      <c r="M1" s="29"/>
      <c r="N1" s="29"/>
      <c r="O1" s="29"/>
      <c r="P1" s="29"/>
      <c r="Q1" s="29"/>
      <c r="R1" s="29"/>
      <c r="S1" s="29"/>
      <c r="T1" s="29"/>
      <c r="U1" s="29"/>
      <c r="V1" s="29"/>
      <c r="W1" s="29"/>
      <c r="X1" s="29"/>
      <c r="Y1" s="29"/>
      <c r="Z1" s="29"/>
      <c r="AA1" s="29"/>
      <c r="AB1" s="29"/>
      <c r="AC1" s="29"/>
    </row>
    <row r="2" customFormat="false" ht="12.8" hidden="false" customHeight="false" outlineLevel="0" collapsed="false">
      <c r="A2" s="1" t="s">
        <v>139</v>
      </c>
      <c r="C2" s="4"/>
      <c r="D2" s="4"/>
      <c r="E2" s="4"/>
      <c r="F2" s="4"/>
      <c r="G2" s="4"/>
      <c r="H2" s="4"/>
      <c r="I2" s="4"/>
      <c r="J2" s="4"/>
      <c r="K2" s="4"/>
      <c r="L2" s="4"/>
      <c r="M2" s="30"/>
      <c r="N2" s="1" t="s">
        <v>140</v>
      </c>
      <c r="Z2" s="30"/>
      <c r="AA2" s="1" t="s">
        <v>141</v>
      </c>
      <c r="AM2" s="30"/>
      <c r="AN2" s="1" t="s">
        <v>142</v>
      </c>
    </row>
    <row r="3" customFormat="false" ht="12.8" hidden="false" customHeight="false" outlineLevel="0" collapsed="false">
      <c r="A3" s="1" t="s">
        <v>143</v>
      </c>
      <c r="B3" s="4" t="n">
        <v>0.1414</v>
      </c>
      <c r="C3" s="31" t="s">
        <v>144</v>
      </c>
      <c r="D3" s="31"/>
      <c r="E3" s="31"/>
      <c r="F3" s="31"/>
      <c r="G3" s="31"/>
      <c r="H3" s="31"/>
      <c r="I3" s="31"/>
      <c r="J3" s="31"/>
      <c r="K3" s="31"/>
      <c r="L3" s="31"/>
      <c r="M3" s="30"/>
      <c r="N3" s="1" t="s">
        <v>143</v>
      </c>
      <c r="O3" s="4" t="n">
        <v>0.1411</v>
      </c>
      <c r="P3" s="32" t="s">
        <v>144</v>
      </c>
      <c r="Q3" s="32"/>
      <c r="R3" s="32"/>
      <c r="S3" s="32"/>
      <c r="T3" s="32"/>
      <c r="U3" s="32"/>
      <c r="V3" s="32"/>
      <c r="W3" s="32"/>
      <c r="X3" s="32"/>
      <c r="Z3" s="30"/>
      <c r="AA3" s="1" t="s">
        <v>143</v>
      </c>
      <c r="AB3" s="4" t="n">
        <v>0.0914</v>
      </c>
      <c r="AC3" s="32" t="s">
        <v>144</v>
      </c>
      <c r="AD3" s="32"/>
      <c r="AE3" s="32"/>
      <c r="AF3" s="32"/>
      <c r="AG3" s="32"/>
      <c r="AH3" s="32"/>
      <c r="AI3" s="32"/>
      <c r="AJ3" s="32"/>
      <c r="AK3" s="32"/>
      <c r="AM3" s="30"/>
      <c r="AN3" s="1" t="s">
        <v>143</v>
      </c>
      <c r="AO3" s="4" t="n">
        <v>0.0893</v>
      </c>
      <c r="AP3" s="32" t="s">
        <v>145</v>
      </c>
      <c r="AQ3" s="32"/>
      <c r="AR3" s="32"/>
      <c r="AS3" s="32"/>
      <c r="AT3" s="32"/>
    </row>
    <row r="4" customFormat="false" ht="12.8" hidden="false" customHeight="false" outlineLevel="0" collapsed="false">
      <c r="A4" s="1" t="s">
        <v>143</v>
      </c>
      <c r="B4" s="4" t="n">
        <v>0.13</v>
      </c>
      <c r="C4" s="31" t="s">
        <v>145</v>
      </c>
      <c r="D4" s="31"/>
      <c r="E4" s="31"/>
      <c r="F4" s="31"/>
      <c r="G4" s="31"/>
      <c r="H4" s="4"/>
      <c r="I4" s="4"/>
      <c r="J4" s="4"/>
      <c r="K4" s="4"/>
      <c r="L4" s="4"/>
      <c r="M4" s="30"/>
      <c r="N4" s="1" t="s">
        <v>143</v>
      </c>
      <c r="O4" s="4" t="n">
        <v>0.1298</v>
      </c>
      <c r="P4" s="32" t="s">
        <v>145</v>
      </c>
      <c r="Q4" s="32"/>
      <c r="R4" s="32"/>
      <c r="S4" s="32"/>
      <c r="T4" s="32"/>
      <c r="Z4" s="30"/>
      <c r="AA4" s="1" t="s">
        <v>143</v>
      </c>
      <c r="AB4" s="4" t="n">
        <v>0.0865</v>
      </c>
      <c r="AC4" s="32" t="s">
        <v>145</v>
      </c>
      <c r="AD4" s="32"/>
      <c r="AE4" s="32"/>
      <c r="AF4" s="32"/>
      <c r="AG4" s="32"/>
      <c r="AM4" s="30"/>
      <c r="AN4" s="1" t="s">
        <v>143</v>
      </c>
      <c r="AO4" s="4" t="n">
        <v>0.0885</v>
      </c>
      <c r="AP4" s="32" t="s">
        <v>144</v>
      </c>
      <c r="AQ4" s="32"/>
      <c r="AR4" s="32"/>
      <c r="AS4" s="32"/>
      <c r="AT4" s="32"/>
      <c r="AU4" s="32"/>
      <c r="AV4" s="32"/>
      <c r="AW4" s="32"/>
      <c r="AX4" s="32"/>
    </row>
    <row r="5" customFormat="false" ht="12.8" hidden="false" customHeight="false" outlineLevel="0" collapsed="false">
      <c r="A5" s="1" t="s">
        <v>143</v>
      </c>
      <c r="B5" s="4" t="n">
        <v>0.1252</v>
      </c>
      <c r="C5" s="31" t="s">
        <v>146</v>
      </c>
      <c r="D5" s="31"/>
      <c r="E5" s="31"/>
      <c r="F5" s="31"/>
      <c r="G5" s="31"/>
      <c r="H5" s="4"/>
      <c r="I5" s="4"/>
      <c r="J5" s="4"/>
      <c r="K5" s="4"/>
      <c r="L5" s="4"/>
      <c r="M5" s="30"/>
      <c r="N5" s="1" t="s">
        <v>143</v>
      </c>
      <c r="O5" s="4" t="n">
        <v>0.1248</v>
      </c>
      <c r="P5" s="32" t="s">
        <v>147</v>
      </c>
      <c r="Q5" s="32"/>
      <c r="R5" s="32"/>
      <c r="S5" s="32"/>
      <c r="T5" s="32"/>
      <c r="U5" s="32"/>
      <c r="V5" s="32"/>
      <c r="W5" s="32"/>
      <c r="X5" s="32"/>
      <c r="Y5" s="32"/>
      <c r="Z5" s="30"/>
      <c r="AA5" s="1" t="s">
        <v>143</v>
      </c>
      <c r="AB5" s="4" t="n">
        <v>0.0805</v>
      </c>
      <c r="AC5" s="32" t="s">
        <v>148</v>
      </c>
      <c r="AD5" s="32"/>
      <c r="AE5" s="32"/>
      <c r="AF5" s="32"/>
      <c r="AG5" s="32"/>
      <c r="AH5" s="32"/>
      <c r="AI5" s="32"/>
      <c r="AJ5" s="32"/>
      <c r="AK5" s="32"/>
      <c r="AL5" s="32"/>
      <c r="AM5" s="30"/>
      <c r="AN5" s="1" t="s">
        <v>143</v>
      </c>
      <c r="AO5" s="4" t="n">
        <v>0.0798</v>
      </c>
      <c r="AP5" s="32" t="s">
        <v>147</v>
      </c>
      <c r="AQ5" s="32"/>
      <c r="AR5" s="32"/>
      <c r="AS5" s="32"/>
      <c r="AT5" s="32"/>
      <c r="AU5" s="32"/>
      <c r="AV5" s="32"/>
      <c r="AW5" s="32"/>
      <c r="AX5" s="32"/>
      <c r="AY5" s="32"/>
    </row>
    <row r="6" customFormat="false" ht="12.8" hidden="false" customHeight="false" outlineLevel="0" collapsed="false">
      <c r="A6" s="1" t="s">
        <v>143</v>
      </c>
      <c r="B6" s="4" t="n">
        <v>0.125</v>
      </c>
      <c r="C6" s="31" t="s">
        <v>147</v>
      </c>
      <c r="D6" s="31"/>
      <c r="E6" s="31"/>
      <c r="F6" s="31"/>
      <c r="G6" s="31"/>
      <c r="H6" s="31"/>
      <c r="I6" s="31"/>
      <c r="J6" s="31"/>
      <c r="K6" s="31"/>
      <c r="L6" s="31"/>
      <c r="M6" s="30"/>
      <c r="N6" s="1" t="s">
        <v>143</v>
      </c>
      <c r="O6" s="4" t="n">
        <v>0.1247</v>
      </c>
      <c r="P6" s="32" t="s">
        <v>146</v>
      </c>
      <c r="Q6" s="32"/>
      <c r="R6" s="32"/>
      <c r="S6" s="32"/>
      <c r="T6" s="32"/>
      <c r="Z6" s="30"/>
      <c r="AA6" s="1" t="s">
        <v>143</v>
      </c>
      <c r="AB6" s="4" t="n">
        <v>0.0796</v>
      </c>
      <c r="AC6" s="32" t="s">
        <v>147</v>
      </c>
      <c r="AD6" s="32"/>
      <c r="AE6" s="32"/>
      <c r="AF6" s="32"/>
      <c r="AG6" s="32"/>
      <c r="AH6" s="32"/>
      <c r="AI6" s="32"/>
      <c r="AJ6" s="32"/>
      <c r="AK6" s="32"/>
      <c r="AL6" s="32"/>
      <c r="AM6" s="30"/>
      <c r="AN6" s="1" t="s">
        <v>143</v>
      </c>
      <c r="AO6" s="4" t="n">
        <v>0.079</v>
      </c>
      <c r="AP6" s="32" t="s">
        <v>148</v>
      </c>
      <c r="AQ6" s="32"/>
      <c r="AR6" s="32"/>
      <c r="AS6" s="32"/>
      <c r="AT6" s="32"/>
      <c r="AU6" s="32"/>
      <c r="AV6" s="32"/>
      <c r="AW6" s="32"/>
      <c r="AX6" s="32"/>
      <c r="AY6" s="32"/>
    </row>
    <row r="7" customFormat="false" ht="12.8" hidden="false" customHeight="false" outlineLevel="0" collapsed="false">
      <c r="A7" s="1" t="s">
        <v>143</v>
      </c>
      <c r="B7" s="4" t="n">
        <v>0.1242</v>
      </c>
      <c r="C7" s="31" t="s">
        <v>148</v>
      </c>
      <c r="D7" s="31"/>
      <c r="E7" s="31"/>
      <c r="F7" s="31"/>
      <c r="G7" s="31"/>
      <c r="H7" s="31"/>
      <c r="I7" s="31"/>
      <c r="J7" s="31"/>
      <c r="K7" s="31"/>
      <c r="L7" s="31"/>
      <c r="M7" s="30"/>
      <c r="N7" s="1" t="s">
        <v>143</v>
      </c>
      <c r="O7" s="4" t="n">
        <v>0.1238</v>
      </c>
      <c r="P7" s="32" t="s">
        <v>148</v>
      </c>
      <c r="Q7" s="32"/>
      <c r="R7" s="32"/>
      <c r="S7" s="32"/>
      <c r="T7" s="32"/>
      <c r="U7" s="32"/>
      <c r="V7" s="32"/>
      <c r="W7" s="32"/>
      <c r="X7" s="32"/>
      <c r="Y7" s="32"/>
      <c r="Z7" s="30"/>
      <c r="AA7" s="1" t="s">
        <v>143</v>
      </c>
      <c r="AB7" s="4" t="n">
        <v>0.0758</v>
      </c>
      <c r="AC7" s="32" t="s">
        <v>146</v>
      </c>
      <c r="AD7" s="32"/>
      <c r="AE7" s="32"/>
      <c r="AF7" s="32"/>
      <c r="AM7" s="30"/>
      <c r="AN7" s="1" t="s">
        <v>143</v>
      </c>
      <c r="AO7" s="4" t="n">
        <v>0.0723</v>
      </c>
      <c r="AP7" s="32" t="s">
        <v>146</v>
      </c>
      <c r="AQ7" s="32"/>
      <c r="AR7" s="32"/>
      <c r="AS7" s="32"/>
      <c r="AT7" s="32"/>
    </row>
    <row r="8" customFormat="false" ht="12.8" hidden="false" customHeight="false" outlineLevel="0" collapsed="false">
      <c r="A8" s="33" t="s">
        <v>149</v>
      </c>
      <c r="B8" s="34" t="n">
        <v>0.1088</v>
      </c>
      <c r="C8" s="35" t="s">
        <v>150</v>
      </c>
      <c r="D8" s="35"/>
      <c r="E8" s="35"/>
      <c r="F8" s="35"/>
      <c r="G8" s="35"/>
      <c r="H8" s="35"/>
      <c r="I8" s="35"/>
      <c r="J8" s="35"/>
      <c r="K8" s="35"/>
      <c r="L8" s="35"/>
      <c r="M8" s="30"/>
      <c r="N8" s="1" t="s">
        <v>149</v>
      </c>
      <c r="O8" s="34" t="n">
        <v>0.1082</v>
      </c>
      <c r="P8" s="36" t="s">
        <v>150</v>
      </c>
      <c r="Q8" s="36"/>
      <c r="R8" s="36"/>
      <c r="S8" s="36"/>
      <c r="T8" s="36"/>
      <c r="U8" s="36"/>
      <c r="V8" s="36"/>
      <c r="W8" s="36"/>
      <c r="X8" s="36"/>
      <c r="Y8" s="36"/>
      <c r="Z8" s="30"/>
      <c r="AA8" s="1" t="s">
        <v>143</v>
      </c>
      <c r="AB8" s="4" t="n">
        <v>0.0674</v>
      </c>
      <c r="AC8" s="32" t="s">
        <v>151</v>
      </c>
      <c r="AD8" s="32"/>
      <c r="AE8" s="32"/>
      <c r="AF8" s="32"/>
      <c r="AM8" s="30"/>
      <c r="AN8" s="1" t="s">
        <v>143</v>
      </c>
      <c r="AO8" s="4" t="n">
        <v>0.0674</v>
      </c>
      <c r="AP8" s="32" t="s">
        <v>151</v>
      </c>
      <c r="AQ8" s="32"/>
      <c r="AR8" s="32"/>
      <c r="AS8" s="32"/>
    </row>
    <row r="9" customFormat="false" ht="12.8" hidden="false" customHeight="false" outlineLevel="0" collapsed="false">
      <c r="A9" s="1" t="s">
        <v>143</v>
      </c>
      <c r="B9" s="4" t="n">
        <v>0.1056</v>
      </c>
      <c r="C9" s="31" t="s">
        <v>151</v>
      </c>
      <c r="D9" s="31"/>
      <c r="E9" s="31"/>
      <c r="F9" s="31"/>
      <c r="M9" s="30"/>
      <c r="N9" s="1" t="s">
        <v>143</v>
      </c>
      <c r="O9" s="4" t="n">
        <v>0.1052</v>
      </c>
      <c r="P9" s="32" t="s">
        <v>151</v>
      </c>
      <c r="Q9" s="32"/>
      <c r="R9" s="32"/>
      <c r="S9" s="32"/>
      <c r="Z9" s="30"/>
      <c r="AA9" s="1" t="s">
        <v>149</v>
      </c>
      <c r="AB9" s="34" t="n">
        <v>0.062</v>
      </c>
      <c r="AC9" s="36" t="s">
        <v>150</v>
      </c>
      <c r="AD9" s="36"/>
      <c r="AE9" s="36"/>
      <c r="AF9" s="36"/>
      <c r="AG9" s="36"/>
      <c r="AH9" s="36"/>
      <c r="AI9" s="36"/>
      <c r="AJ9" s="36"/>
      <c r="AK9" s="36"/>
      <c r="AL9" s="36"/>
      <c r="AM9" s="30"/>
      <c r="AN9" s="1" t="s">
        <v>143</v>
      </c>
      <c r="AO9" s="4" t="n">
        <v>0.0609</v>
      </c>
      <c r="AP9" s="32" t="s">
        <v>152</v>
      </c>
      <c r="AQ9" s="32"/>
      <c r="AR9" s="32"/>
      <c r="AS9" s="32"/>
      <c r="AT9" s="32"/>
      <c r="AU9" s="32"/>
      <c r="AV9" s="32"/>
    </row>
    <row r="10" customFormat="false" ht="12.8" hidden="false" customHeight="false" outlineLevel="0" collapsed="false">
      <c r="A10" s="1" t="s">
        <v>143</v>
      </c>
      <c r="B10" s="4" t="n">
        <v>0.1029</v>
      </c>
      <c r="C10" s="31" t="s">
        <v>153</v>
      </c>
      <c r="D10" s="31"/>
      <c r="E10" s="31"/>
      <c r="F10" s="31"/>
      <c r="G10" s="31"/>
      <c r="H10" s="31"/>
      <c r="I10" s="4"/>
      <c r="M10" s="30"/>
      <c r="N10" s="1" t="s">
        <v>143</v>
      </c>
      <c r="O10" s="4" t="n">
        <v>0.1029</v>
      </c>
      <c r="P10" s="32" t="s">
        <v>153</v>
      </c>
      <c r="Q10" s="32"/>
      <c r="R10" s="32"/>
      <c r="S10" s="32"/>
      <c r="T10" s="32"/>
      <c r="U10" s="32"/>
      <c r="Z10" s="30"/>
      <c r="AA10" s="1" t="s">
        <v>143</v>
      </c>
      <c r="AB10" s="4" t="n">
        <v>0.0585</v>
      </c>
      <c r="AC10" s="32" t="s">
        <v>153</v>
      </c>
      <c r="AD10" s="32"/>
      <c r="AE10" s="32"/>
      <c r="AF10" s="32"/>
      <c r="AG10" s="32"/>
      <c r="AH10" s="32"/>
      <c r="AM10" s="30"/>
      <c r="AN10" s="1" t="s">
        <v>143</v>
      </c>
      <c r="AO10" s="4" t="n">
        <v>0.0603</v>
      </c>
      <c r="AP10" s="32" t="s">
        <v>153</v>
      </c>
      <c r="AQ10" s="32"/>
      <c r="AR10" s="32"/>
      <c r="AS10" s="32"/>
      <c r="AT10" s="32"/>
      <c r="AU10" s="32"/>
    </row>
    <row r="11" customFormat="false" ht="12.8" hidden="false" customHeight="false" outlineLevel="0" collapsed="false">
      <c r="A11" s="33" t="s">
        <v>149</v>
      </c>
      <c r="B11" s="34" t="n">
        <v>0.1003</v>
      </c>
      <c r="C11" s="35" t="s">
        <v>154</v>
      </c>
      <c r="D11" s="35"/>
      <c r="E11" s="35"/>
      <c r="F11" s="4"/>
      <c r="G11" s="4"/>
      <c r="H11" s="4"/>
      <c r="I11" s="4"/>
      <c r="M11" s="30"/>
      <c r="N11" s="1" t="s">
        <v>149</v>
      </c>
      <c r="O11" s="34" t="n">
        <v>0.1005</v>
      </c>
      <c r="P11" s="36" t="s">
        <v>154</v>
      </c>
      <c r="Q11" s="36"/>
      <c r="R11" s="36"/>
      <c r="Z11" s="30"/>
      <c r="AA11" s="1" t="s">
        <v>149</v>
      </c>
      <c r="AB11" s="34" t="n">
        <v>0.0577</v>
      </c>
      <c r="AC11" s="36" t="s">
        <v>154</v>
      </c>
      <c r="AD11" s="36"/>
      <c r="AE11" s="36"/>
      <c r="AM11" s="30"/>
      <c r="AN11" s="1" t="s">
        <v>143</v>
      </c>
      <c r="AO11" s="4" t="n">
        <v>0.056</v>
      </c>
      <c r="AP11" s="32" t="s">
        <v>155</v>
      </c>
      <c r="AQ11" s="32"/>
      <c r="AR11" s="32"/>
      <c r="AS11" s="32"/>
    </row>
    <row r="12" customFormat="false" ht="12.8" hidden="false" customHeight="false" outlineLevel="0" collapsed="false">
      <c r="A12" s="1" t="s">
        <v>143</v>
      </c>
      <c r="B12" s="4" t="n">
        <v>0.0945</v>
      </c>
      <c r="C12" s="31" t="s">
        <v>155</v>
      </c>
      <c r="D12" s="31"/>
      <c r="E12" s="31"/>
      <c r="F12" s="31"/>
      <c r="G12" s="4"/>
      <c r="H12" s="4"/>
      <c r="I12" s="4"/>
      <c r="M12" s="30"/>
      <c r="N12" s="1" t="s">
        <v>143</v>
      </c>
      <c r="O12" s="4" t="n">
        <v>0.0945</v>
      </c>
      <c r="P12" s="32" t="s">
        <v>155</v>
      </c>
      <c r="Q12" s="32"/>
      <c r="R12" s="32"/>
      <c r="S12" s="32"/>
      <c r="Z12" s="30"/>
      <c r="AA12" s="1" t="s">
        <v>143</v>
      </c>
      <c r="AB12" s="4" t="n">
        <v>0.0501</v>
      </c>
      <c r="AC12" s="32" t="s">
        <v>156</v>
      </c>
      <c r="AD12" s="32"/>
      <c r="AE12" s="32"/>
      <c r="AF12" s="32"/>
      <c r="AM12" s="30"/>
      <c r="AN12" s="1" t="s">
        <v>149</v>
      </c>
      <c r="AO12" s="34" t="n">
        <v>0.0512</v>
      </c>
      <c r="AP12" s="37" t="s">
        <v>154</v>
      </c>
      <c r="AQ12" s="37"/>
      <c r="AR12" s="37"/>
    </row>
    <row r="13" customFormat="false" ht="12.8" hidden="false" customHeight="false" outlineLevel="0" collapsed="false">
      <c r="A13" s="1" t="s">
        <v>143</v>
      </c>
      <c r="B13" s="4" t="n">
        <v>0.0887</v>
      </c>
      <c r="C13" s="31" t="s">
        <v>152</v>
      </c>
      <c r="D13" s="31"/>
      <c r="E13" s="31"/>
      <c r="F13" s="31"/>
      <c r="G13" s="31"/>
      <c r="H13" s="31"/>
      <c r="I13" s="31"/>
      <c r="M13" s="30"/>
      <c r="N13" s="1" t="s">
        <v>143</v>
      </c>
      <c r="O13" s="4" t="n">
        <v>0.0887</v>
      </c>
      <c r="P13" s="32" t="s">
        <v>152</v>
      </c>
      <c r="Q13" s="32"/>
      <c r="R13" s="32"/>
      <c r="S13" s="32"/>
      <c r="T13" s="32"/>
      <c r="U13" s="32"/>
      <c r="V13" s="32"/>
      <c r="Z13" s="30"/>
      <c r="AA13" s="1" t="s">
        <v>149</v>
      </c>
      <c r="AB13" s="34" t="n">
        <v>0.0489</v>
      </c>
      <c r="AC13" s="36" t="s">
        <v>157</v>
      </c>
      <c r="AD13" s="36"/>
      <c r="AE13" s="36"/>
      <c r="AF13" s="36"/>
      <c r="AG13" s="36"/>
      <c r="AH13" s="36"/>
      <c r="AI13" s="36"/>
      <c r="AM13" s="30"/>
      <c r="AN13" s="1" t="s">
        <v>149</v>
      </c>
      <c r="AO13" s="34" t="n">
        <v>0.0503</v>
      </c>
      <c r="AP13" s="36" t="s">
        <v>158</v>
      </c>
      <c r="AQ13" s="36"/>
      <c r="AR13" s="36"/>
      <c r="AS13" s="36"/>
      <c r="AT13" s="36"/>
      <c r="AU13" s="36"/>
      <c r="AV13" s="36"/>
    </row>
    <row r="14" customFormat="false" ht="12.8" hidden="false" customHeight="false" outlineLevel="0" collapsed="false">
      <c r="A14" s="1" t="s">
        <v>143</v>
      </c>
      <c r="B14" s="4" t="n">
        <v>0.0849</v>
      </c>
      <c r="C14" s="31" t="s">
        <v>159</v>
      </c>
      <c r="D14" s="31"/>
      <c r="E14" s="31"/>
      <c r="F14" s="31"/>
      <c r="G14" s="31"/>
      <c r="H14" s="31"/>
      <c r="I14" s="4"/>
      <c r="M14" s="30"/>
      <c r="N14" s="1" t="s">
        <v>143</v>
      </c>
      <c r="O14" s="4" t="n">
        <v>0.0849</v>
      </c>
      <c r="P14" s="32" t="s">
        <v>159</v>
      </c>
      <c r="Q14" s="32"/>
      <c r="R14" s="32"/>
      <c r="S14" s="32"/>
      <c r="T14" s="32"/>
      <c r="U14" s="32"/>
      <c r="Z14" s="30"/>
      <c r="AA14" s="1" t="s">
        <v>143</v>
      </c>
      <c r="AB14" s="4" t="n">
        <v>0.0479</v>
      </c>
      <c r="AC14" s="32" t="s">
        <v>155</v>
      </c>
      <c r="AD14" s="32"/>
      <c r="AE14" s="32"/>
      <c r="AF14" s="32"/>
      <c r="AM14" s="30"/>
      <c r="AN14" s="1" t="s">
        <v>149</v>
      </c>
      <c r="AO14" s="34" t="n">
        <v>0.0499</v>
      </c>
      <c r="AP14" s="36" t="s">
        <v>160</v>
      </c>
      <c r="AQ14" s="36"/>
      <c r="AR14" s="36"/>
      <c r="AS14" s="36"/>
      <c r="AT14" s="36"/>
      <c r="AU14" s="38"/>
      <c r="AV14" s="38"/>
    </row>
    <row r="15" customFormat="false" ht="12.8" hidden="false" customHeight="false" outlineLevel="0" collapsed="false">
      <c r="A15" s="33" t="s">
        <v>149</v>
      </c>
      <c r="B15" s="34" t="n">
        <v>0.082</v>
      </c>
      <c r="C15" s="35" t="s">
        <v>161</v>
      </c>
      <c r="D15" s="35"/>
      <c r="E15" s="35"/>
      <c r="F15" s="35"/>
      <c r="G15" s="34"/>
      <c r="H15" s="34"/>
      <c r="I15" s="34"/>
      <c r="M15" s="30"/>
      <c r="N15" s="1" t="s">
        <v>149</v>
      </c>
      <c r="O15" s="34" t="n">
        <v>0.0843</v>
      </c>
      <c r="P15" s="36" t="s">
        <v>158</v>
      </c>
      <c r="Q15" s="36"/>
      <c r="R15" s="36"/>
      <c r="S15" s="36"/>
      <c r="T15" s="36"/>
      <c r="U15" s="36"/>
      <c r="V15" s="36"/>
      <c r="Z15" s="30"/>
      <c r="AA15" s="1" t="s">
        <v>149</v>
      </c>
      <c r="AB15" s="34" t="n">
        <v>0.0477</v>
      </c>
      <c r="AC15" s="36" t="s">
        <v>158</v>
      </c>
      <c r="AD15" s="36"/>
      <c r="AE15" s="36"/>
      <c r="AF15" s="36"/>
      <c r="AG15" s="36"/>
      <c r="AH15" s="36"/>
      <c r="AI15" s="36"/>
      <c r="AM15" s="30"/>
      <c r="AN15" s="1" t="s">
        <v>143</v>
      </c>
      <c r="AO15" s="4" t="n">
        <v>0.0468</v>
      </c>
      <c r="AP15" s="32" t="s">
        <v>162</v>
      </c>
      <c r="AQ15" s="32"/>
      <c r="AR15" s="32"/>
    </row>
    <row r="16" customFormat="false" ht="12.8" hidden="false" customHeight="false" outlineLevel="0" collapsed="false">
      <c r="A16" s="33" t="s">
        <v>149</v>
      </c>
      <c r="B16" s="34" t="n">
        <v>0.0809</v>
      </c>
      <c r="C16" s="35" t="s">
        <v>163</v>
      </c>
      <c r="D16" s="35"/>
      <c r="E16" s="35"/>
      <c r="F16" s="35"/>
      <c r="G16" s="35"/>
      <c r="H16" s="35"/>
      <c r="I16" s="34"/>
      <c r="M16" s="30"/>
      <c r="N16" s="1" t="s">
        <v>149</v>
      </c>
      <c r="O16" s="34" t="n">
        <v>0.082</v>
      </c>
      <c r="P16" s="36" t="s">
        <v>161</v>
      </c>
      <c r="Q16" s="36"/>
      <c r="R16" s="36"/>
      <c r="S16" s="36"/>
      <c r="T16" s="33"/>
      <c r="U16" s="33"/>
      <c r="V16" s="33"/>
      <c r="Z16" s="30"/>
      <c r="AA16" s="1" t="s">
        <v>143</v>
      </c>
      <c r="AB16" s="4" t="n">
        <v>0.0476</v>
      </c>
      <c r="AC16" s="32" t="s">
        <v>162</v>
      </c>
      <c r="AD16" s="32"/>
      <c r="AE16" s="32"/>
      <c r="AM16" s="30"/>
      <c r="AN16" s="1" t="s">
        <v>149</v>
      </c>
      <c r="AO16" s="34" t="n">
        <v>0.0465</v>
      </c>
      <c r="AP16" s="36" t="s">
        <v>164</v>
      </c>
      <c r="AQ16" s="36"/>
      <c r="AR16" s="36"/>
      <c r="AS16" s="36"/>
      <c r="AT16" s="36"/>
      <c r="AU16" s="36"/>
      <c r="AV16" s="36"/>
      <c r="AW16" s="38"/>
      <c r="AX16" s="38"/>
    </row>
    <row r="17" customFormat="false" ht="12.8" hidden="false" customHeight="false" outlineLevel="0" collapsed="false">
      <c r="A17" s="33" t="s">
        <v>149</v>
      </c>
      <c r="B17" s="34" t="n">
        <v>0.0806</v>
      </c>
      <c r="C17" s="35" t="s">
        <v>165</v>
      </c>
      <c r="D17" s="35"/>
      <c r="E17" s="35"/>
      <c r="F17" s="35"/>
      <c r="G17" s="35"/>
      <c r="H17" s="35"/>
      <c r="I17" s="35"/>
      <c r="M17" s="30"/>
      <c r="N17" s="1" t="s">
        <v>149</v>
      </c>
      <c r="O17" s="34" t="n">
        <v>0.0809</v>
      </c>
      <c r="P17" s="36" t="s">
        <v>163</v>
      </c>
      <c r="Q17" s="36"/>
      <c r="R17" s="36"/>
      <c r="S17" s="36"/>
      <c r="T17" s="36"/>
      <c r="U17" s="36"/>
      <c r="V17" s="33"/>
      <c r="Z17" s="30"/>
      <c r="AA17" s="1" t="s">
        <v>143</v>
      </c>
      <c r="AB17" s="4" t="n">
        <v>0.0459</v>
      </c>
      <c r="AC17" s="32" t="s">
        <v>152</v>
      </c>
      <c r="AD17" s="32"/>
      <c r="AE17" s="32"/>
      <c r="AF17" s="32"/>
      <c r="AG17" s="32"/>
      <c r="AH17" s="32"/>
      <c r="AI17" s="32"/>
      <c r="AM17" s="30"/>
      <c r="AN17" s="1" t="s">
        <v>149</v>
      </c>
      <c r="AO17" s="34" t="n">
        <v>0.0453</v>
      </c>
      <c r="AP17" s="36" t="s">
        <v>166</v>
      </c>
      <c r="AQ17" s="36"/>
      <c r="AR17" s="36"/>
      <c r="AS17" s="36"/>
      <c r="AT17" s="36"/>
      <c r="AU17" s="36"/>
      <c r="AV17" s="36"/>
      <c r="AW17" s="36"/>
      <c r="AX17" s="36"/>
    </row>
    <row r="18" customFormat="false" ht="12.8" hidden="false" customHeight="false" outlineLevel="0" collapsed="false">
      <c r="A18" s="33" t="s">
        <v>149</v>
      </c>
      <c r="B18" s="34" t="n">
        <v>0.0803</v>
      </c>
      <c r="C18" s="35" t="s">
        <v>167</v>
      </c>
      <c r="D18" s="35"/>
      <c r="E18" s="35"/>
      <c r="F18" s="35"/>
      <c r="G18" s="34"/>
      <c r="H18" s="34"/>
      <c r="I18" s="34"/>
      <c r="J18" s="4"/>
      <c r="K18" s="4"/>
      <c r="M18" s="30"/>
      <c r="N18" s="1" t="s">
        <v>149</v>
      </c>
      <c r="O18" s="34" t="n">
        <v>0.0806</v>
      </c>
      <c r="P18" s="36" t="s">
        <v>165</v>
      </c>
      <c r="Q18" s="36"/>
      <c r="R18" s="36"/>
      <c r="S18" s="36"/>
      <c r="T18" s="36"/>
      <c r="U18" s="36"/>
      <c r="V18" s="36"/>
      <c r="Z18" s="30"/>
      <c r="AA18" s="1" t="s">
        <v>149</v>
      </c>
      <c r="AB18" s="34" t="n">
        <v>0.0455</v>
      </c>
      <c r="AC18" s="36" t="s">
        <v>168</v>
      </c>
      <c r="AD18" s="36"/>
      <c r="AE18" s="36"/>
      <c r="AF18" s="36"/>
      <c r="AG18" s="36"/>
      <c r="AM18" s="30"/>
      <c r="AN18" s="1" t="s">
        <v>143</v>
      </c>
      <c r="AO18" s="4" t="n">
        <v>0.0444</v>
      </c>
      <c r="AP18" s="32" t="s">
        <v>159</v>
      </c>
      <c r="AQ18" s="32"/>
      <c r="AR18" s="32"/>
      <c r="AS18" s="32"/>
      <c r="AT18" s="32"/>
      <c r="AU18" s="32"/>
    </row>
    <row r="19" customFormat="false" ht="12.8" hidden="false" customHeight="false" outlineLevel="0" collapsed="false">
      <c r="A19" s="33" t="s">
        <v>149</v>
      </c>
      <c r="B19" s="34" t="n">
        <v>0.0803</v>
      </c>
      <c r="C19" s="35" t="s">
        <v>160</v>
      </c>
      <c r="D19" s="35"/>
      <c r="E19" s="35"/>
      <c r="F19" s="35"/>
      <c r="G19" s="35"/>
      <c r="H19" s="34"/>
      <c r="I19" s="34"/>
      <c r="J19" s="4"/>
      <c r="K19" s="4"/>
      <c r="M19" s="30"/>
      <c r="N19" s="1" t="s">
        <v>149</v>
      </c>
      <c r="O19" s="34" t="n">
        <v>0.0803</v>
      </c>
      <c r="P19" s="36" t="s">
        <v>167</v>
      </c>
      <c r="Q19" s="36"/>
      <c r="R19" s="36"/>
      <c r="S19" s="36"/>
      <c r="T19" s="33"/>
      <c r="U19" s="33"/>
      <c r="V19" s="33"/>
      <c r="Z19" s="30"/>
      <c r="AA19" s="1" t="s">
        <v>143</v>
      </c>
      <c r="AB19" s="4" t="n">
        <v>0.0446</v>
      </c>
      <c r="AC19" s="32" t="s">
        <v>159</v>
      </c>
      <c r="AD19" s="32"/>
      <c r="AE19" s="32"/>
      <c r="AF19" s="32"/>
      <c r="AG19" s="32"/>
      <c r="AH19" s="32"/>
      <c r="AM19" s="30"/>
      <c r="AN19" s="1" t="s">
        <v>149</v>
      </c>
      <c r="AO19" s="34" t="n">
        <v>0.0441</v>
      </c>
      <c r="AP19" s="36" t="s">
        <v>169</v>
      </c>
      <c r="AQ19" s="36"/>
      <c r="AR19" s="36"/>
      <c r="AS19" s="36"/>
      <c r="AT19" s="36"/>
      <c r="AU19" s="36"/>
      <c r="AV19" s="36"/>
      <c r="AW19" s="36"/>
      <c r="AX19" s="38"/>
      <c r="AY19" s="38"/>
    </row>
    <row r="20" customFormat="false" ht="12.8" hidden="false" customHeight="false" outlineLevel="0" collapsed="false">
      <c r="A20" s="33" t="s">
        <v>149</v>
      </c>
      <c r="B20" s="34" t="n">
        <v>0.0777</v>
      </c>
      <c r="C20" s="35" t="s">
        <v>170</v>
      </c>
      <c r="D20" s="35"/>
      <c r="E20" s="35"/>
      <c r="F20" s="35"/>
      <c r="G20" s="35"/>
      <c r="H20" s="35"/>
      <c r="I20" s="35"/>
      <c r="J20" s="4"/>
      <c r="K20" s="4"/>
      <c r="M20" s="30"/>
      <c r="N20" s="1" t="s">
        <v>149</v>
      </c>
      <c r="O20" s="34" t="n">
        <v>0.0803</v>
      </c>
      <c r="P20" s="36" t="s">
        <v>160</v>
      </c>
      <c r="Q20" s="36"/>
      <c r="R20" s="36"/>
      <c r="S20" s="36"/>
      <c r="T20" s="36"/>
      <c r="U20" s="33"/>
      <c r="V20" s="33"/>
      <c r="Z20" s="30"/>
      <c r="AA20" s="1" t="s">
        <v>149</v>
      </c>
      <c r="AB20" s="34" t="n">
        <v>0.0422</v>
      </c>
      <c r="AC20" s="36" t="s">
        <v>161</v>
      </c>
      <c r="AD20" s="36"/>
      <c r="AE20" s="36"/>
      <c r="AF20" s="36"/>
      <c r="AG20" s="33"/>
      <c r="AH20" s="33"/>
      <c r="AI20" s="33"/>
      <c r="AM20" s="30"/>
      <c r="AN20" s="1" t="s">
        <v>149</v>
      </c>
      <c r="AO20" s="34" t="n">
        <v>0.0435</v>
      </c>
      <c r="AP20" s="36" t="s">
        <v>150</v>
      </c>
      <c r="AQ20" s="36"/>
      <c r="AR20" s="36"/>
      <c r="AS20" s="36"/>
      <c r="AT20" s="36"/>
      <c r="AU20" s="36"/>
      <c r="AV20" s="36"/>
      <c r="AW20" s="36"/>
      <c r="AX20" s="36"/>
      <c r="AY20" s="36"/>
    </row>
    <row r="21" customFormat="false" ht="12.8" hidden="false" customHeight="false" outlineLevel="0" collapsed="false">
      <c r="A21" s="1" t="s">
        <v>143</v>
      </c>
      <c r="B21" s="4" t="n">
        <v>0.0755</v>
      </c>
      <c r="C21" s="31" t="s">
        <v>162</v>
      </c>
      <c r="D21" s="31"/>
      <c r="E21" s="31"/>
      <c r="F21" s="4"/>
      <c r="G21" s="4"/>
      <c r="H21" s="4"/>
      <c r="I21" s="4"/>
      <c r="J21" s="4"/>
      <c r="K21" s="4"/>
      <c r="M21" s="30"/>
      <c r="N21" s="1" t="s">
        <v>149</v>
      </c>
      <c r="O21" s="34" t="n">
        <v>0.0777</v>
      </c>
      <c r="P21" s="36" t="s">
        <v>170</v>
      </c>
      <c r="Q21" s="36"/>
      <c r="R21" s="36"/>
      <c r="S21" s="36"/>
      <c r="T21" s="36"/>
      <c r="U21" s="36"/>
      <c r="V21" s="36"/>
      <c r="Z21" s="30"/>
      <c r="AA21" s="1" t="s">
        <v>149</v>
      </c>
      <c r="AB21" s="34" t="n">
        <v>0.0408</v>
      </c>
      <c r="AC21" s="36" t="s">
        <v>163</v>
      </c>
      <c r="AD21" s="36"/>
      <c r="AE21" s="36"/>
      <c r="AF21" s="36"/>
      <c r="AG21" s="36"/>
      <c r="AH21" s="36"/>
      <c r="AI21" s="33"/>
      <c r="AM21" s="30"/>
      <c r="AN21" s="1" t="s">
        <v>149</v>
      </c>
      <c r="AO21" s="34" t="n">
        <v>0.0429</v>
      </c>
      <c r="AP21" s="36" t="s">
        <v>171</v>
      </c>
      <c r="AQ21" s="36"/>
      <c r="AR21" s="36"/>
      <c r="AS21" s="36"/>
      <c r="AT21" s="36"/>
      <c r="AU21" s="36"/>
      <c r="AV21" s="38"/>
      <c r="AW21" s="38"/>
      <c r="AX21" s="38"/>
      <c r="AY21" s="38"/>
    </row>
    <row r="22" customFormat="false" ht="12.8" hidden="false" customHeight="false" outlineLevel="0" collapsed="false">
      <c r="A22" s="1" t="s">
        <v>143</v>
      </c>
      <c r="B22" s="4" t="n">
        <v>0.0747</v>
      </c>
      <c r="C22" s="31" t="s">
        <v>172</v>
      </c>
      <c r="D22" s="31"/>
      <c r="E22" s="31"/>
      <c r="F22" s="4"/>
      <c r="G22" s="4"/>
      <c r="H22" s="4"/>
      <c r="I22" s="4"/>
      <c r="J22" s="4"/>
      <c r="K22" s="4"/>
      <c r="M22" s="30"/>
      <c r="N22" s="1" t="s">
        <v>143</v>
      </c>
      <c r="O22" s="4" t="n">
        <v>0.076</v>
      </c>
      <c r="P22" s="32" t="s">
        <v>162</v>
      </c>
      <c r="Q22" s="32"/>
      <c r="R22" s="32"/>
      <c r="Z22" s="30"/>
      <c r="AA22" s="1" t="s">
        <v>149</v>
      </c>
      <c r="AB22" s="34" t="n">
        <v>0.0404</v>
      </c>
      <c r="AC22" s="36" t="s">
        <v>167</v>
      </c>
      <c r="AD22" s="36"/>
      <c r="AE22" s="36"/>
      <c r="AF22" s="36"/>
      <c r="AG22" s="33"/>
      <c r="AH22" s="33"/>
      <c r="AI22" s="33"/>
      <c r="AM22" s="30"/>
      <c r="AN22" s="1" t="s">
        <v>143</v>
      </c>
      <c r="AO22" s="4" t="n">
        <v>0.0427</v>
      </c>
      <c r="AP22" s="32" t="s">
        <v>156</v>
      </c>
      <c r="AQ22" s="32"/>
      <c r="AR22" s="32"/>
      <c r="AS22" s="32"/>
    </row>
    <row r="23" customFormat="false" ht="12.8" hidden="false" customHeight="false" outlineLevel="0" collapsed="false">
      <c r="A23" s="34" t="s">
        <v>149</v>
      </c>
      <c r="B23" s="34" t="n">
        <v>0.0739</v>
      </c>
      <c r="C23" s="35" t="s">
        <v>173</v>
      </c>
      <c r="D23" s="35"/>
      <c r="E23" s="35"/>
      <c r="F23" s="34"/>
      <c r="G23" s="34"/>
      <c r="H23" s="34"/>
      <c r="I23" s="34"/>
      <c r="J23" s="34"/>
      <c r="K23" s="34"/>
      <c r="M23" s="30"/>
      <c r="N23" s="1" t="s">
        <v>143</v>
      </c>
      <c r="O23" s="4" t="n">
        <v>0.0747</v>
      </c>
      <c r="P23" s="32" t="s">
        <v>172</v>
      </c>
      <c r="Q23" s="32"/>
      <c r="R23" s="32"/>
      <c r="Z23" s="30"/>
      <c r="AA23" s="1" t="s">
        <v>149</v>
      </c>
      <c r="AB23" s="34" t="n">
        <v>0.0402</v>
      </c>
      <c r="AC23" s="36" t="s">
        <v>174</v>
      </c>
      <c r="AD23" s="36"/>
      <c r="AE23" s="36"/>
      <c r="AF23" s="36"/>
      <c r="AG23" s="36"/>
      <c r="AH23" s="33"/>
      <c r="AI23" s="33"/>
      <c r="AM23" s="30"/>
      <c r="AN23" s="1" t="s">
        <v>149</v>
      </c>
      <c r="AO23" s="34" t="n">
        <v>0.0423</v>
      </c>
      <c r="AP23" s="36" t="s">
        <v>161</v>
      </c>
      <c r="AQ23" s="36"/>
      <c r="AR23" s="36"/>
      <c r="AS23" s="36"/>
      <c r="AT23" s="38"/>
      <c r="AU23" s="38"/>
      <c r="AV23" s="38"/>
    </row>
    <row r="24" customFormat="false" ht="12.8" hidden="false" customHeight="false" outlineLevel="0" collapsed="false">
      <c r="A24" s="34" t="s">
        <v>149</v>
      </c>
      <c r="B24" s="34" t="n">
        <v>0.0717</v>
      </c>
      <c r="C24" s="35" t="s">
        <v>168</v>
      </c>
      <c r="D24" s="35"/>
      <c r="E24" s="35"/>
      <c r="F24" s="35"/>
      <c r="G24" s="35"/>
      <c r="H24" s="34"/>
      <c r="I24" s="34"/>
      <c r="J24" s="34"/>
      <c r="K24" s="34"/>
      <c r="M24" s="30"/>
      <c r="N24" s="1" t="s">
        <v>149</v>
      </c>
      <c r="O24" s="34" t="n">
        <v>0.0739</v>
      </c>
      <c r="P24" s="36" t="s">
        <v>173</v>
      </c>
      <c r="Q24" s="36"/>
      <c r="R24" s="36"/>
      <c r="S24" s="33"/>
      <c r="T24" s="33"/>
      <c r="U24" s="33"/>
      <c r="V24" s="33"/>
      <c r="W24" s="33"/>
      <c r="X24" s="33"/>
      <c r="Z24" s="30"/>
      <c r="AA24" s="1" t="s">
        <v>149</v>
      </c>
      <c r="AB24" s="34" t="n">
        <v>0.0402</v>
      </c>
      <c r="AC24" s="36" t="s">
        <v>160</v>
      </c>
      <c r="AD24" s="36"/>
      <c r="AE24" s="36"/>
      <c r="AF24" s="36"/>
      <c r="AG24" s="36"/>
      <c r="AH24" s="33"/>
      <c r="AI24" s="33"/>
      <c r="AM24" s="30"/>
      <c r="AN24" s="1" t="s">
        <v>149</v>
      </c>
      <c r="AO24" s="34" t="n">
        <v>0.0415</v>
      </c>
      <c r="AP24" s="36" t="s">
        <v>175</v>
      </c>
      <c r="AQ24" s="36"/>
      <c r="AR24" s="38"/>
      <c r="AS24" s="38"/>
      <c r="AT24" s="38"/>
      <c r="AU24" s="38"/>
      <c r="AV24" s="38"/>
    </row>
    <row r="25" customFormat="false" ht="12.8" hidden="false" customHeight="false" outlineLevel="0" collapsed="false">
      <c r="A25" s="34" t="s">
        <v>149</v>
      </c>
      <c r="B25" s="34" t="n">
        <v>0.0708</v>
      </c>
      <c r="C25" s="35" t="s">
        <v>158</v>
      </c>
      <c r="D25" s="35"/>
      <c r="E25" s="35"/>
      <c r="F25" s="35"/>
      <c r="G25" s="35"/>
      <c r="H25" s="35"/>
      <c r="I25" s="35"/>
      <c r="J25" s="34"/>
      <c r="K25" s="34"/>
      <c r="M25" s="30"/>
      <c r="N25" s="1" t="s">
        <v>149</v>
      </c>
      <c r="O25" s="34" t="n">
        <v>0.0722</v>
      </c>
      <c r="P25" s="36" t="s">
        <v>168</v>
      </c>
      <c r="Q25" s="36"/>
      <c r="R25" s="36"/>
      <c r="S25" s="36"/>
      <c r="T25" s="36"/>
      <c r="U25" s="33"/>
      <c r="V25" s="33"/>
      <c r="W25" s="33"/>
      <c r="X25" s="33"/>
      <c r="Z25" s="30"/>
      <c r="AA25" s="1" t="s">
        <v>149</v>
      </c>
      <c r="AB25" s="34" t="n">
        <v>0.04</v>
      </c>
      <c r="AC25" s="36" t="s">
        <v>165</v>
      </c>
      <c r="AD25" s="36"/>
      <c r="AE25" s="36"/>
      <c r="AF25" s="36"/>
      <c r="AG25" s="36"/>
      <c r="AH25" s="36"/>
      <c r="AI25" s="36"/>
      <c r="AM25" s="30"/>
      <c r="AN25" s="1" t="s">
        <v>149</v>
      </c>
      <c r="AO25" s="34" t="n">
        <v>0.041</v>
      </c>
      <c r="AP25" s="36" t="s">
        <v>163</v>
      </c>
      <c r="AQ25" s="36"/>
      <c r="AR25" s="36"/>
      <c r="AS25" s="36"/>
      <c r="AT25" s="36"/>
      <c r="AU25" s="36"/>
      <c r="AV25" s="38"/>
    </row>
    <row r="26" customFormat="false" ht="12.8" hidden="false" customHeight="false" outlineLevel="0" collapsed="false">
      <c r="A26" s="34" t="s">
        <v>149</v>
      </c>
      <c r="B26" s="34" t="n">
        <v>0.0699</v>
      </c>
      <c r="C26" s="35" t="s">
        <v>176</v>
      </c>
      <c r="D26" s="35"/>
      <c r="E26" s="35"/>
      <c r="F26" s="35"/>
      <c r="G26" s="35"/>
      <c r="H26" s="35"/>
      <c r="I26" s="35"/>
      <c r="J26" s="34"/>
      <c r="K26" s="34"/>
      <c r="M26" s="30"/>
      <c r="N26" s="1" t="s">
        <v>149</v>
      </c>
      <c r="O26" s="34" t="n">
        <v>0.0699</v>
      </c>
      <c r="P26" s="36" t="s">
        <v>176</v>
      </c>
      <c r="Q26" s="36"/>
      <c r="R26" s="36"/>
      <c r="S26" s="36"/>
      <c r="T26" s="36"/>
      <c r="U26" s="36"/>
      <c r="V26" s="36"/>
      <c r="W26" s="33"/>
      <c r="X26" s="33"/>
      <c r="Z26" s="30"/>
      <c r="AA26" s="1" t="s">
        <v>149</v>
      </c>
      <c r="AB26" s="34" t="n">
        <v>0.0391</v>
      </c>
      <c r="AC26" s="36" t="s">
        <v>170</v>
      </c>
      <c r="AD26" s="36"/>
      <c r="AE26" s="36"/>
      <c r="AF26" s="36"/>
      <c r="AG26" s="36"/>
      <c r="AH26" s="36"/>
      <c r="AI26" s="36"/>
      <c r="AM26" s="30"/>
      <c r="AN26" s="1" t="s">
        <v>149</v>
      </c>
      <c r="AO26" s="34" t="n">
        <v>0.0402</v>
      </c>
      <c r="AP26" s="36" t="s">
        <v>165</v>
      </c>
      <c r="AQ26" s="36"/>
      <c r="AR26" s="36"/>
      <c r="AS26" s="36"/>
      <c r="AT26" s="36"/>
      <c r="AU26" s="36"/>
      <c r="AV26" s="36"/>
    </row>
    <row r="27" customFormat="false" ht="12.8" hidden="false" customHeight="false" outlineLevel="0" collapsed="false">
      <c r="A27" s="34" t="s">
        <v>149</v>
      </c>
      <c r="B27" s="34" t="n">
        <v>0.0699</v>
      </c>
      <c r="C27" s="35" t="s">
        <v>166</v>
      </c>
      <c r="D27" s="35"/>
      <c r="E27" s="35"/>
      <c r="F27" s="35"/>
      <c r="G27" s="35"/>
      <c r="H27" s="35"/>
      <c r="I27" s="35"/>
      <c r="J27" s="35"/>
      <c r="K27" s="35"/>
      <c r="M27" s="30"/>
      <c r="N27" s="1" t="s">
        <v>149</v>
      </c>
      <c r="O27" s="34" t="n">
        <v>0.0699</v>
      </c>
      <c r="P27" s="36" t="s">
        <v>166</v>
      </c>
      <c r="Q27" s="36"/>
      <c r="R27" s="36"/>
      <c r="S27" s="36"/>
      <c r="T27" s="36"/>
      <c r="U27" s="36"/>
      <c r="V27" s="36"/>
      <c r="W27" s="36"/>
      <c r="X27" s="36"/>
      <c r="Z27" s="30"/>
      <c r="AA27" s="1" t="s">
        <v>143</v>
      </c>
      <c r="AB27" s="4" t="n">
        <v>0.0375</v>
      </c>
      <c r="AC27" s="32" t="s">
        <v>172</v>
      </c>
      <c r="AD27" s="32"/>
      <c r="AE27" s="32"/>
      <c r="AM27" s="30"/>
      <c r="AN27" s="1" t="s">
        <v>143</v>
      </c>
      <c r="AO27" s="4" t="n">
        <v>0.0394</v>
      </c>
      <c r="AP27" s="32" t="s">
        <v>172</v>
      </c>
      <c r="AQ27" s="32"/>
      <c r="AR27" s="32"/>
    </row>
    <row r="28" customFormat="false" ht="12.8" hidden="false" customHeight="false" outlineLevel="0" collapsed="false">
      <c r="A28" s="34" t="s">
        <v>149</v>
      </c>
      <c r="B28" s="34" t="n">
        <v>0.0698</v>
      </c>
      <c r="C28" s="35" t="s">
        <v>177</v>
      </c>
      <c r="D28" s="35"/>
      <c r="E28" s="35"/>
      <c r="F28" s="35"/>
      <c r="G28" s="35"/>
      <c r="H28" s="35"/>
      <c r="I28" s="35"/>
      <c r="J28" s="35"/>
      <c r="K28" s="34"/>
      <c r="M28" s="30"/>
      <c r="N28" s="1" t="s">
        <v>149</v>
      </c>
      <c r="O28" s="34" t="n">
        <v>0.0698</v>
      </c>
      <c r="P28" s="36" t="s">
        <v>177</v>
      </c>
      <c r="Q28" s="36"/>
      <c r="R28" s="36"/>
      <c r="S28" s="36"/>
      <c r="T28" s="36"/>
      <c r="U28" s="36"/>
      <c r="V28" s="36"/>
      <c r="W28" s="36"/>
      <c r="X28" s="33"/>
      <c r="Z28" s="30"/>
    </row>
    <row r="29" customFormat="false" ht="12.8" hidden="false" customHeight="false" outlineLevel="0" collapsed="false">
      <c r="A29" s="34" t="s">
        <v>149</v>
      </c>
      <c r="B29" s="34" t="n">
        <v>0.0697</v>
      </c>
      <c r="C29" s="35" t="s">
        <v>157</v>
      </c>
      <c r="D29" s="35"/>
      <c r="E29" s="35"/>
      <c r="F29" s="35"/>
      <c r="G29" s="35"/>
      <c r="H29" s="35"/>
      <c r="I29" s="35"/>
      <c r="J29" s="34"/>
      <c r="K29" s="34"/>
      <c r="M29" s="30"/>
      <c r="N29" s="1" t="s">
        <v>149</v>
      </c>
      <c r="O29" s="34" t="n">
        <v>0.0697</v>
      </c>
      <c r="P29" s="36" t="s">
        <v>157</v>
      </c>
      <c r="Q29" s="36"/>
      <c r="R29" s="36"/>
      <c r="S29" s="36"/>
      <c r="T29" s="36"/>
      <c r="U29" s="36"/>
      <c r="V29" s="36"/>
      <c r="W29" s="33"/>
      <c r="X29" s="33"/>
      <c r="Z29" s="30"/>
    </row>
    <row r="30" customFormat="false" ht="12.8" hidden="false" customHeight="false" outlineLevel="0" collapsed="false">
      <c r="A30" s="34" t="s">
        <v>149</v>
      </c>
      <c r="B30" s="34" t="n">
        <v>0.069</v>
      </c>
      <c r="C30" s="35" t="s">
        <v>174</v>
      </c>
      <c r="D30" s="35"/>
      <c r="E30" s="35"/>
      <c r="F30" s="35"/>
      <c r="G30" s="35"/>
      <c r="H30" s="34"/>
      <c r="I30" s="34"/>
      <c r="J30" s="34"/>
      <c r="K30" s="34"/>
      <c r="M30" s="30"/>
      <c r="N30" s="1" t="s">
        <v>143</v>
      </c>
      <c r="O30" s="4" t="n">
        <v>0.0683</v>
      </c>
      <c r="P30" s="32" t="s">
        <v>156</v>
      </c>
      <c r="Q30" s="32"/>
      <c r="R30" s="32"/>
      <c r="S30" s="32"/>
      <c r="Z30" s="30"/>
    </row>
    <row r="31" customFormat="false" ht="12.8" hidden="false" customHeight="false" outlineLevel="0" collapsed="false">
      <c r="A31" s="1" t="s">
        <v>143</v>
      </c>
      <c r="B31" s="4" t="n">
        <v>0.068</v>
      </c>
      <c r="C31" s="31" t="s">
        <v>156</v>
      </c>
      <c r="D31" s="31"/>
      <c r="E31" s="31"/>
      <c r="F31" s="31"/>
      <c r="G31" s="31"/>
      <c r="H31" s="4"/>
      <c r="I31" s="4"/>
      <c r="J31" s="4"/>
      <c r="M31" s="30"/>
      <c r="Z31" s="30"/>
    </row>
  </sheetData>
  <mergeCells count="108">
    <mergeCell ref="C1:AC1"/>
    <mergeCell ref="C3:L3"/>
    <mergeCell ref="P3:X3"/>
    <mergeCell ref="AC3:AK3"/>
    <mergeCell ref="AP3:AT3"/>
    <mergeCell ref="C4:G4"/>
    <mergeCell ref="P4:T4"/>
    <mergeCell ref="AC4:AG4"/>
    <mergeCell ref="AP4:AX4"/>
    <mergeCell ref="C5:G5"/>
    <mergeCell ref="P5:Y5"/>
    <mergeCell ref="AC5:AL5"/>
    <mergeCell ref="AP5:AY5"/>
    <mergeCell ref="C6:L6"/>
    <mergeCell ref="P6:T6"/>
    <mergeCell ref="AC6:AL6"/>
    <mergeCell ref="AP6:AY6"/>
    <mergeCell ref="C7:L7"/>
    <mergeCell ref="P7:Y7"/>
    <mergeCell ref="AC7:AF7"/>
    <mergeCell ref="AP7:AT7"/>
    <mergeCell ref="C8:L8"/>
    <mergeCell ref="P8:Y8"/>
    <mergeCell ref="AC8:AF8"/>
    <mergeCell ref="AP8:AS8"/>
    <mergeCell ref="C9:F9"/>
    <mergeCell ref="P9:S9"/>
    <mergeCell ref="AC9:AL9"/>
    <mergeCell ref="AP9:AV9"/>
    <mergeCell ref="C10:H10"/>
    <mergeCell ref="P10:U10"/>
    <mergeCell ref="AC10:AH10"/>
    <mergeCell ref="AP10:AU10"/>
    <mergeCell ref="C11:E11"/>
    <mergeCell ref="P11:R11"/>
    <mergeCell ref="AC11:AE11"/>
    <mergeCell ref="AP11:AS11"/>
    <mergeCell ref="C12:F12"/>
    <mergeCell ref="P12:S12"/>
    <mergeCell ref="AC12:AF12"/>
    <mergeCell ref="AP12:AR12"/>
    <mergeCell ref="C13:I13"/>
    <mergeCell ref="P13:V13"/>
    <mergeCell ref="AC13:AI13"/>
    <mergeCell ref="AP13:AV13"/>
    <mergeCell ref="C14:H14"/>
    <mergeCell ref="P14:U14"/>
    <mergeCell ref="AC14:AF14"/>
    <mergeCell ref="AP14:AT14"/>
    <mergeCell ref="C15:F15"/>
    <mergeCell ref="P15:V15"/>
    <mergeCell ref="AC15:AI15"/>
    <mergeCell ref="AP15:AR15"/>
    <mergeCell ref="C16:H16"/>
    <mergeCell ref="P16:S16"/>
    <mergeCell ref="AC16:AE16"/>
    <mergeCell ref="AP16:AV16"/>
    <mergeCell ref="C17:I17"/>
    <mergeCell ref="P17:U17"/>
    <mergeCell ref="AC17:AI17"/>
    <mergeCell ref="AP17:AX17"/>
    <mergeCell ref="C18:F18"/>
    <mergeCell ref="P18:V18"/>
    <mergeCell ref="AC18:AG18"/>
    <mergeCell ref="AP18:AU18"/>
    <mergeCell ref="C19:G19"/>
    <mergeCell ref="P19:S19"/>
    <mergeCell ref="AC19:AH19"/>
    <mergeCell ref="AP19:AW19"/>
    <mergeCell ref="C20:I20"/>
    <mergeCell ref="P20:T20"/>
    <mergeCell ref="AC20:AF20"/>
    <mergeCell ref="AP20:AY20"/>
    <mergeCell ref="C21:E21"/>
    <mergeCell ref="P21:V21"/>
    <mergeCell ref="AC21:AH21"/>
    <mergeCell ref="AP21:AU21"/>
    <mergeCell ref="C22:E22"/>
    <mergeCell ref="P22:R22"/>
    <mergeCell ref="AC22:AF22"/>
    <mergeCell ref="AP22:AS22"/>
    <mergeCell ref="C23:E23"/>
    <mergeCell ref="P23:R23"/>
    <mergeCell ref="AC23:AG23"/>
    <mergeCell ref="AP23:AS23"/>
    <mergeCell ref="C24:G24"/>
    <mergeCell ref="P24:R24"/>
    <mergeCell ref="AC24:AG24"/>
    <mergeCell ref="AP24:AQ24"/>
    <mergeCell ref="C25:I25"/>
    <mergeCell ref="P25:T25"/>
    <mergeCell ref="AC25:AI25"/>
    <mergeCell ref="AP25:AU25"/>
    <mergeCell ref="C26:I26"/>
    <mergeCell ref="P26:V26"/>
    <mergeCell ref="AC26:AI26"/>
    <mergeCell ref="AP26:AV26"/>
    <mergeCell ref="C27:K27"/>
    <mergeCell ref="P27:X27"/>
    <mergeCell ref="AC27:AE27"/>
    <mergeCell ref="AP27:AR27"/>
    <mergeCell ref="C28:J28"/>
    <mergeCell ref="P28:W28"/>
    <mergeCell ref="C29:I29"/>
    <mergeCell ref="P29:V29"/>
    <mergeCell ref="C30:G30"/>
    <mergeCell ref="P30:S30"/>
    <mergeCell ref="C31:G3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8" activeCellId="0" sqref="A28"/>
    </sheetView>
  </sheetViews>
  <sheetFormatPr defaultColWidth="11.53515625" defaultRowHeight="12.8" customHeight="true" zeroHeight="false" outlineLevelRow="0" outlineLevelCol="0"/>
  <cols>
    <col collapsed="false" customWidth="true" hidden="false" outlineLevel="0" max="1" min="1" style="0" width="79.16"/>
  </cols>
  <sheetData>
    <row r="1" customFormat="false" ht="12.8" hidden="false" customHeight="false" outlineLevel="0" collapsed="false">
      <c r="A1" s="39" t="s">
        <v>178</v>
      </c>
    </row>
    <row r="2" customFormat="false" ht="12.8" hidden="false" customHeight="false" outlineLevel="0" collapsed="false">
      <c r="A2" s="0" t="s">
        <v>179</v>
      </c>
      <c r="B2" s="0" t="s">
        <v>180</v>
      </c>
    </row>
    <row r="3" customFormat="false" ht="12.8" hidden="false" customHeight="false" outlineLevel="0" collapsed="false">
      <c r="A3" s="0" t="s">
        <v>181</v>
      </c>
      <c r="B3" s="0" t="s">
        <v>182</v>
      </c>
    </row>
    <row r="4" customFormat="false" ht="12.8" hidden="false" customHeight="false" outlineLevel="0" collapsed="false">
      <c r="A4" s="0" t="s">
        <v>183</v>
      </c>
      <c r="B4" s="0" t="s">
        <v>184</v>
      </c>
    </row>
    <row r="5" customFormat="false" ht="12.8" hidden="false" customHeight="false" outlineLevel="0" collapsed="false">
      <c r="A5" s="0" t="s">
        <v>185</v>
      </c>
      <c r="B5" s="0" t="s">
        <v>186</v>
      </c>
    </row>
    <row r="6" customFormat="false" ht="12.8" hidden="false" customHeight="false" outlineLevel="0" collapsed="false">
      <c r="A6" s="0" t="s">
        <v>187</v>
      </c>
      <c r="B6" s="0" t="s">
        <v>188</v>
      </c>
    </row>
    <row r="7" customFormat="false" ht="12.8" hidden="false" customHeight="false" outlineLevel="0" collapsed="false">
      <c r="A7" s="0" t="s">
        <v>189</v>
      </c>
      <c r="B7" s="0" t="s">
        <v>190</v>
      </c>
    </row>
    <row r="8" customFormat="false" ht="12.8" hidden="false" customHeight="false" outlineLevel="0" collapsed="false">
      <c r="A8" s="0" t="s">
        <v>191</v>
      </c>
      <c r="B8" s="0" t="s">
        <v>192</v>
      </c>
    </row>
    <row r="9" customFormat="false" ht="12.8" hidden="false" customHeight="false" outlineLevel="0" collapsed="false">
      <c r="A9" s="0" t="s">
        <v>193</v>
      </c>
      <c r="B9" s="0" t="s">
        <v>194</v>
      </c>
    </row>
    <row r="10" customFormat="false" ht="12.8" hidden="false" customHeight="false" outlineLevel="0" collapsed="false">
      <c r="A10" s="0" t="s">
        <v>195</v>
      </c>
      <c r="B10" s="0" t="s">
        <v>196</v>
      </c>
    </row>
    <row r="11" customFormat="false" ht="12.8" hidden="false" customHeight="false" outlineLevel="0" collapsed="false">
      <c r="A11" s="40" t="s">
        <v>197</v>
      </c>
      <c r="B11" s="0" t="s">
        <v>198</v>
      </c>
    </row>
    <row r="12" customFormat="false" ht="12.8" hidden="false" customHeight="false" outlineLevel="0" collapsed="false">
      <c r="A12" s="40" t="s">
        <v>199</v>
      </c>
      <c r="B12" s="0" t="s">
        <v>200</v>
      </c>
    </row>
    <row r="13" customFormat="false" ht="12.8" hidden="false" customHeight="false" outlineLevel="0" collapsed="false">
      <c r="A13" s="0" t="s">
        <v>201</v>
      </c>
      <c r="B13" s="0" t="s">
        <v>202</v>
      </c>
    </row>
    <row r="14" customFormat="false" ht="12.8" hidden="false" customHeight="false" outlineLevel="0" collapsed="false">
      <c r="A14" s="0" t="s">
        <v>203</v>
      </c>
      <c r="B14" s="0" t="s">
        <v>204</v>
      </c>
    </row>
    <row r="15" customFormat="false" ht="12.8" hidden="false" customHeight="false" outlineLevel="0" collapsed="false">
      <c r="A15" s="0" t="s">
        <v>205</v>
      </c>
      <c r="B15" s="0" t="s">
        <v>206</v>
      </c>
    </row>
    <row r="16" customFormat="false" ht="12.8" hidden="false" customHeight="false" outlineLevel="0" collapsed="false">
      <c r="A16" s="0" t="s">
        <v>207</v>
      </c>
      <c r="B16" s="0" t="s">
        <v>208</v>
      </c>
    </row>
    <row r="17" customFormat="false" ht="12.8" hidden="false" customHeight="false" outlineLevel="0" collapsed="false">
      <c r="A17" s="40" t="s">
        <v>209</v>
      </c>
      <c r="B17" s="0" t="s">
        <v>210</v>
      </c>
    </row>
    <row r="18" customFormat="false" ht="12.8" hidden="false" customHeight="false" outlineLevel="0" collapsed="false">
      <c r="A18" s="0" t="s">
        <v>211</v>
      </c>
      <c r="B18" s="0" t="s">
        <v>212</v>
      </c>
    </row>
    <row r="19" customFormat="false" ht="12.8" hidden="false" customHeight="false" outlineLevel="0" collapsed="false">
      <c r="A19" s="40" t="s">
        <v>213</v>
      </c>
      <c r="B19" s="0" t="s">
        <v>214</v>
      </c>
    </row>
    <row r="20" customFormat="false" ht="12.8" hidden="false" customHeight="false" outlineLevel="0" collapsed="false">
      <c r="A20" s="0" t="s">
        <v>215</v>
      </c>
      <c r="B20" s="0" t="s">
        <v>216</v>
      </c>
    </row>
    <row r="21" customFormat="false" ht="12.8" hidden="false" customHeight="false" outlineLevel="0" collapsed="false">
      <c r="A21" s="0" t="s">
        <v>217</v>
      </c>
      <c r="B21" s="0" t="s">
        <v>218</v>
      </c>
    </row>
    <row r="22" customFormat="false" ht="12.8" hidden="false" customHeight="false" outlineLevel="0" collapsed="false">
      <c r="A22" s="40" t="s">
        <v>219</v>
      </c>
      <c r="B22" s="0" t="s">
        <v>220</v>
      </c>
    </row>
    <row r="23" customFormat="false" ht="12.8" hidden="false" customHeight="false" outlineLevel="0" collapsed="false">
      <c r="A23" s="40" t="s">
        <v>221</v>
      </c>
      <c r="B23" s="0" t="s">
        <v>222</v>
      </c>
    </row>
    <row r="24" customFormat="false" ht="12.8" hidden="false" customHeight="false" outlineLevel="0" collapsed="false">
      <c r="A24" s="0" t="s">
        <v>223</v>
      </c>
      <c r="B24" s="0" t="s">
        <v>224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415</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2025-12-06T08:44:19Z</dcterms:created>
  <dc:creator/>
  <dc:description/>
  <dc:language>en-AU</dc:language>
  <cp:lastModifiedBy/>
  <dcterms:modified xsi:type="dcterms:W3CDTF">2026-01-06T16:48:17Z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